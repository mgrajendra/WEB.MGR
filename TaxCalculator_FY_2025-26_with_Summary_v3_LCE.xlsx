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jendraMG\Downloads\"/>
    </mc:Choice>
  </mc:AlternateContent>
  <xr:revisionPtr revIDLastSave="0" documentId="13_ncr:1_{EA586D7A-B949-45E3-8D2C-6CF9861C83C9}" xr6:coauthVersionLast="47" xr6:coauthVersionMax="47" xr10:uidLastSave="{00000000-0000-0000-0000-000000000000}"/>
  <workbookProtection workbookAlgorithmName="SHA-512" workbookHashValue="tb8imEvQ8gxUtWUGqa83k6ZexqBC9NmVM/9TS/pSBElbdHrLZl2+CEa1mD/12wwPRafVZL1QArcGjFjMI3TrYQ==" workbookSaltValue="wTmkUUhEEJa1XVrL5Pg3LQ==" workbookSpinCount="100000" lockStructure="1"/>
  <bookViews>
    <workbookView xWindow="-120" yWindow="-120" windowWidth="29040" windowHeight="17520" activeTab="1" xr2:uid="{DDD8B844-D292-47D5-A636-BFD4C170A7A5}"/>
  </bookViews>
  <sheets>
    <sheet name="Instructions" sheetId="6" r:id="rId1"/>
    <sheet name="Tax Calculator FY 2025-26" sheetId="1" r:id="rId2"/>
    <sheet name="Tax Summary" sheetId="5" r:id="rId3"/>
    <sheet name="HRA Calculator" sheetId="2" r:id="rId4"/>
    <sheet name="New Regime Benefits" sheetId="8" r:id="rId5"/>
    <sheet name="Old Regime Benefit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D23" i="1"/>
  <c r="B6" i="9"/>
  <c r="B7" i="9" s="1"/>
  <c r="B8" i="9" s="1"/>
  <c r="B9" i="9" s="1"/>
  <c r="B10" i="9" s="1"/>
  <c r="B11" i="9" s="1"/>
  <c r="B12" i="9" s="1"/>
  <c r="B13" i="9" s="1"/>
  <c r="B14" i="9" s="1"/>
  <c r="B15" i="9" s="1"/>
  <c r="B16" i="9" s="1"/>
  <c r="B17" i="9" s="1"/>
  <c r="B18" i="9" s="1"/>
  <c r="B19" i="9" s="1"/>
  <c r="B20" i="9" s="1"/>
  <c r="B21" i="9" s="1"/>
  <c r="B22" i="9" s="1"/>
  <c r="B23" i="9" s="1"/>
  <c r="B24" i="9" s="1"/>
  <c r="D29" i="1" l="1"/>
  <c r="L19" i="5"/>
  <c r="L15" i="5"/>
  <c r="D26" i="1"/>
  <c r="K15" i="5" s="1"/>
  <c r="E20" i="1"/>
  <c r="E19" i="1"/>
  <c r="E24" i="1" s="1"/>
  <c r="D19" i="1"/>
  <c r="E18" i="1"/>
  <c r="D18" i="1"/>
  <c r="E17" i="1"/>
  <c r="E16" i="1"/>
  <c r="D16" i="1"/>
  <c r="K21" i="5" l="1"/>
  <c r="L21" i="5"/>
  <c r="D34" i="1" l="1"/>
  <c r="D33" i="1"/>
  <c r="C13" i="2"/>
  <c r="C11" i="2"/>
  <c r="D20" i="1"/>
  <c r="C12" i="2"/>
  <c r="C14" i="2" l="1"/>
  <c r="D32" i="1" l="1"/>
  <c r="D31" i="1"/>
  <c r="D28" i="1" l="1"/>
  <c r="K19" i="5" s="1"/>
  <c r="D17" i="1"/>
  <c r="E14" i="1"/>
  <c r="D14" i="1"/>
  <c r="E13" i="1"/>
  <c r="D13" i="1"/>
  <c r="I13" i="1"/>
  <c r="G13" i="1"/>
  <c r="G12" i="1"/>
  <c r="L17" i="5" l="1"/>
  <c r="E36" i="1"/>
  <c r="L13" i="5" s="1"/>
  <c r="L37" i="5" s="1"/>
  <c r="K17" i="5"/>
  <c r="D36" i="1"/>
  <c r="K13" i="5" s="1"/>
  <c r="K37" i="5" s="1"/>
  <c r="E22" i="1"/>
  <c r="L8" i="5" s="1"/>
  <c r="L36" i="5" s="1"/>
  <c r="D22" i="1"/>
  <c r="K8" i="5" s="1"/>
  <c r="K36" i="5" s="1"/>
  <c r="D15" i="1"/>
  <c r="D37" i="1" s="1"/>
  <c r="E15" i="1"/>
  <c r="E37" i="1" s="1"/>
  <c r="P8" i="5" l="1"/>
  <c r="L38" i="5" s="1"/>
  <c r="O8" i="5"/>
  <c r="K38" i="5" s="1"/>
  <c r="R13" i="1"/>
  <c r="R14" i="1" s="1"/>
  <c r="Q13" i="1"/>
  <c r="S13" i="1" s="1"/>
  <c r="J12" i="1"/>
  <c r="K12" i="1" s="1"/>
  <c r="K13" i="1" l="1"/>
  <c r="J14" i="1" s="1"/>
  <c r="L14" i="1" s="1"/>
  <c r="J13" i="1"/>
  <c r="L13" i="1" s="1"/>
  <c r="Q15" i="1"/>
  <c r="S15" i="1" s="1"/>
  <c r="R15" i="1"/>
  <c r="R16" i="1" s="1"/>
  <c r="R17" i="1" s="1"/>
  <c r="R18" i="1" s="1"/>
  <c r="Q19" i="1" s="1"/>
  <c r="Q14" i="1"/>
  <c r="S14" i="1" s="1"/>
  <c r="K14" i="1" l="1"/>
  <c r="J15" i="1" s="1"/>
  <c r="L15" i="1" s="1"/>
  <c r="L16" i="1" s="1"/>
  <c r="L17" i="1" s="1"/>
  <c r="L19" i="1" s="1"/>
  <c r="O16" i="5" s="1"/>
  <c r="Q16" i="1"/>
  <c r="S16" i="1" s="1"/>
  <c r="Q17" i="1"/>
  <c r="L20" i="1" l="1"/>
  <c r="S17" i="1"/>
  <c r="L21" i="1" l="1"/>
  <c r="S19" i="1"/>
  <c r="Q18" i="1"/>
  <c r="S18" i="1" s="1"/>
  <c r="L22" i="1" l="1"/>
  <c r="S20" i="1"/>
  <c r="S22" i="1" s="1"/>
  <c r="L23" i="1" l="1"/>
  <c r="L24" i="1" s="1"/>
  <c r="O18" i="5"/>
  <c r="S23" i="1"/>
  <c r="P16" i="5" s="1"/>
  <c r="L26" i="1" l="1"/>
  <c r="D38" i="1" s="1"/>
  <c r="O14" i="5" s="1"/>
  <c r="O20" i="5"/>
  <c r="S24" i="1"/>
  <c r="K39" i="5" l="1"/>
  <c r="S25" i="1"/>
  <c r="S26" i="1" s="1"/>
  <c r="P18" i="5" s="1"/>
  <c r="S27" i="1" l="1"/>
  <c r="S28" i="1" s="1"/>
  <c r="P20" i="5" s="1"/>
  <c r="S29" i="1" l="1"/>
  <c r="D39" i="1" s="1"/>
  <c r="P14" i="5" l="1"/>
  <c r="C40" i="1"/>
  <c r="D40" i="1"/>
  <c r="D41" i="1"/>
  <c r="G28" i="1" s="1"/>
  <c r="L39" i="5" l="1"/>
  <c r="K25" i="5"/>
  <c r="O25" i="5"/>
  <c r="O13" i="5"/>
  <c r="P13" i="5"/>
</calcChain>
</file>

<file path=xl/sharedStrings.xml><?xml version="1.0" encoding="utf-8"?>
<sst xmlns="http://schemas.openxmlformats.org/spreadsheetml/2006/main" count="269" uniqueCount="237">
  <si>
    <t>TAX PAYER NAME:</t>
  </si>
  <si>
    <t>TAX PAYER AGE:</t>
  </si>
  <si>
    <t>Income Tax Slab</t>
  </si>
  <si>
    <t>Tax rate</t>
  </si>
  <si>
    <t>Balance</t>
  </si>
  <si>
    <t>Tax</t>
  </si>
  <si>
    <t>RESIDENTIAL STATUS:</t>
  </si>
  <si>
    <t>RESIDENT</t>
  </si>
  <si>
    <t>5,00,001 - 10,00,000</t>
  </si>
  <si>
    <t>Above 10,00,000</t>
  </si>
  <si>
    <t>Tax after rebate</t>
  </si>
  <si>
    <t>Add: Surcharge</t>
  </si>
  <si>
    <t xml:space="preserve">Add: Cess @ 4% </t>
  </si>
  <si>
    <t>NA</t>
  </si>
  <si>
    <t>WHICH REGIME IS BENEFICIAL</t>
  </si>
  <si>
    <t>Add: Cess @ 4%</t>
  </si>
  <si>
    <t>NOTES</t>
  </si>
  <si>
    <t>Particulars</t>
  </si>
  <si>
    <t>Gross Salary</t>
  </si>
  <si>
    <t>Less: Standard Deduction</t>
  </si>
  <si>
    <t>Net Salary</t>
  </si>
  <si>
    <t>Net Taxable Income</t>
  </si>
  <si>
    <t>TAX AS PER OLD TAX REGIME</t>
  </si>
  <si>
    <t>TAX AS PER NEW TAX REGIME</t>
  </si>
  <si>
    <t>Actual</t>
  </si>
  <si>
    <t>Old Regime</t>
  </si>
  <si>
    <t>New Regime</t>
  </si>
  <si>
    <t>TAX CALCULATION AS PER OLD TAX REGIME</t>
  </si>
  <si>
    <t xml:space="preserve">TAX CALCULATION AS PER NEW TAX REGIME </t>
  </si>
  <si>
    <t>(Marginal relief has been considered under the new tax regime)</t>
  </si>
  <si>
    <t>Tax on total income</t>
  </si>
  <si>
    <t>Less: Rebate u/s 87A for taxable income upto 5 lakhs (max. Rs. 12,500/-)</t>
  </si>
  <si>
    <t>Tax with surcharge</t>
  </si>
  <si>
    <t>(for resident and non-resident individuals)</t>
  </si>
  <si>
    <t>Slab Value</t>
  </si>
  <si>
    <t>Total Tax Payable (Old Regime)</t>
  </si>
  <si>
    <t>Total Tax Payable (New Regime)</t>
  </si>
  <si>
    <t>PARENT'S AGE:</t>
  </si>
  <si>
    <t>Years</t>
  </si>
  <si>
    <t>Annually</t>
  </si>
  <si>
    <t>Basic + DA</t>
  </si>
  <si>
    <t>Actual HRA Received</t>
  </si>
  <si>
    <t>HRA Exemption</t>
  </si>
  <si>
    <t>HRA Received</t>
  </si>
  <si>
    <t>Rent Paid</t>
  </si>
  <si>
    <t>Basic + DA (50% in Metro, 40% in Non Metro)</t>
  </si>
  <si>
    <t>No</t>
  </si>
  <si>
    <t>HRA Exemption Calculator</t>
  </si>
  <si>
    <t>Fill the data only in this coloured cells</t>
  </si>
  <si>
    <t>SAI PRATAP KOPPARAPU</t>
  </si>
  <si>
    <t>Updated the calculator considering marginal relief under the new tax regime &amp; Budget 2025</t>
  </si>
  <si>
    <t>Upto 4,00,000</t>
  </si>
  <si>
    <t>4,00,001- 8,00,000</t>
  </si>
  <si>
    <t>8,00,001 - 12,00,000</t>
  </si>
  <si>
    <t>12,00,001 - 16,00,000</t>
  </si>
  <si>
    <t>16,00,001 - 20,00,000</t>
  </si>
  <si>
    <t>20,00,001 - 24,00,000</t>
  </si>
  <si>
    <t>Above 24,00,000</t>
  </si>
  <si>
    <t>INCOME TAX CALCULATOR FOR FY 2025-26 (AY 2026-27)</t>
  </si>
  <si>
    <t>Less: Rebate u/s 87A for taxable income upto 12 lakhs (max. Rs. 60,000/-)</t>
  </si>
  <si>
    <t>Less: Marginal Relief for Surcharge</t>
  </si>
  <si>
    <t>Rental Income received</t>
  </si>
  <si>
    <t>Summary - FY 2025–2026 (AY 2026–2027)</t>
  </si>
  <si>
    <t>Total Income</t>
  </si>
  <si>
    <t>Taxable Income</t>
  </si>
  <si>
    <t>Exemptions &amp; Deductions</t>
  </si>
  <si>
    <t>Tax Payable</t>
  </si>
  <si>
    <t>Exempt Allowances</t>
  </si>
  <si>
    <t>Chapter VI A Deductions</t>
  </si>
  <si>
    <t>Surcharge</t>
  </si>
  <si>
    <t>Income tax</t>
  </si>
  <si>
    <t>Health and education cess</t>
  </si>
  <si>
    <t>Home Loan Interest</t>
  </si>
  <si>
    <t>Deductions</t>
  </si>
  <si>
    <t>Taxable income</t>
  </si>
  <si>
    <t>Old</t>
  </si>
  <si>
    <t>New</t>
  </si>
  <si>
    <t xml:space="preserve">Old </t>
  </si>
  <si>
    <t>in taxes.</t>
  </si>
  <si>
    <t>*To opt for the old tax regime, the ITR must be filed on or before 31st July 2026 (subject to change). If not filed within this deadline, only the new tax regime will be allowed.</t>
  </si>
  <si>
    <t>Income from savings bank interest</t>
  </si>
  <si>
    <t>Income from Term deposits interest</t>
  </si>
  <si>
    <t>Income from other interest</t>
  </si>
  <si>
    <t>Other Incomes other than income taxable at special rates</t>
  </si>
  <si>
    <t>TAX SAVING BY CHOOSING</t>
  </si>
  <si>
    <r>
      <t xml:space="preserve">Are you Living in Any of the Below Metro Cities such as </t>
    </r>
    <r>
      <rPr>
        <i/>
        <sz val="14"/>
        <color rgb="FF314259"/>
        <rFont val="Segoe UI"/>
        <family val="2"/>
      </rPr>
      <t>Delhi, Mumbai, Chennai and Kolkata?</t>
    </r>
  </si>
  <si>
    <r>
      <t xml:space="preserve">Actual Rent Paid </t>
    </r>
    <r>
      <rPr>
        <i/>
        <sz val="14"/>
        <rFont val="Segoe UI"/>
        <family val="2"/>
      </rPr>
      <t xml:space="preserve">minus </t>
    </r>
    <r>
      <rPr>
        <sz val="14"/>
        <rFont val="Segoe UI"/>
        <family val="2"/>
      </rPr>
      <t>10% of (Basic + DA)</t>
    </r>
  </si>
  <si>
    <t xml:space="preserve">Standard Deductions  </t>
  </si>
  <si>
    <t>2. Employees can change the Tax Regime any time before filing of ITR for the year</t>
  </si>
  <si>
    <t>3. Rebate is not applicable for non-residents.</t>
  </si>
  <si>
    <r>
      <t xml:space="preserve">Income Tax Calculator - FY 2025-26 (AY 2026-27)   </t>
    </r>
    <r>
      <rPr>
        <b/>
        <i/>
        <sz val="36"/>
        <color rgb="FFFFC000"/>
        <rFont val="Aptos Display"/>
        <family val="2"/>
        <scheme val="major"/>
      </rPr>
      <t>(Return to be filed between 1st Apr 2026 to 31st Dec 2026)</t>
    </r>
    <r>
      <rPr>
        <b/>
        <i/>
        <sz val="36"/>
        <color theme="0"/>
        <rFont val="Aptos Display"/>
        <family val="2"/>
        <scheme val="major"/>
      </rPr>
      <t xml:space="preserve">  </t>
    </r>
  </si>
  <si>
    <r>
      <rPr>
        <b/>
        <i/>
        <sz val="14"/>
        <color rgb="FF4F4F4F"/>
        <rFont val="Aptos Narrow"/>
        <family val="2"/>
        <scheme val="minor"/>
      </rPr>
      <t>Disclaimer:</t>
    </r>
    <r>
      <rPr>
        <i/>
        <sz val="14"/>
        <color rgb="FF4F4F4F"/>
        <rFont val="Aptos Narrow"/>
        <family val="2"/>
        <scheme val="minor"/>
      </rPr>
      <t xml:space="preserve"> This calculator provides a quick and basic tax estimate for resident and non-resident individuals across all age groups, with income taxable at normal rates. It may not cover all scenarios. For accurate tax computation and return filing, please refer to the applicable Acts, Rules, and regulations.</t>
    </r>
  </si>
  <si>
    <t>1. Under the new tax regime, only interest on loan for let-out property is deductible, limited to the extent of taxable rental income. Technically interest will get nullified and  any excess interest will not be carried forward/set-off with any other incomes</t>
  </si>
  <si>
    <t>Less: Interest on Home Loan- Self Occupied</t>
  </si>
  <si>
    <t>Less: Interest Home Loan - Let Out</t>
  </si>
  <si>
    <r>
      <t xml:space="preserve">Less: HRA Exemption </t>
    </r>
    <r>
      <rPr>
        <i/>
        <sz val="14"/>
        <color theme="1" tint="0.499984740745262"/>
        <rFont val="Aptos Narrow"/>
        <family val="2"/>
        <scheme val="minor"/>
      </rPr>
      <t>(refer HRA Calculator)</t>
    </r>
  </si>
  <si>
    <t>Less: Other Exempt allowances</t>
  </si>
  <si>
    <t>Less: 80C Deduction</t>
  </si>
  <si>
    <t>Less: 80CCD(1B) – Employee’s contribution to NPS</t>
  </si>
  <si>
    <t>Less: 80CCD(2) – Employer’s NPS Contribution</t>
  </si>
  <si>
    <t>Less: 80D – Health Insurance for Self</t>
  </si>
  <si>
    <t>Less: 80D – Health Insurance for Parents</t>
  </si>
  <si>
    <t xml:space="preserve">Less: 80TTA – Interest from Savings Bank </t>
  </si>
  <si>
    <t xml:space="preserve">Less: 80TTB – Interest from Term deposits </t>
  </si>
  <si>
    <t>Less: Any other deductions not covered above</t>
  </si>
  <si>
    <t>Total Income other than income taxable at special rates</t>
  </si>
  <si>
    <t>Total Exemptions and Deductions etc.,</t>
  </si>
  <si>
    <t>Tax benefits under new tax regime: FY 2025-26 / AY 2026-27</t>
  </si>
  <si>
    <t>Deductions: </t>
  </si>
  <si>
    <t>1. Salary Income: Standard deduction up to Rs 75,000</t>
  </si>
  <si>
    <t>2. Family Pension: Standard deduction up to  ₹25,000 or 1/3rd of pension, whichever is lower.</t>
  </si>
  <si>
    <t>4. Employer's contribution to NPS to the extent of 14% of basic salary. However, there is a threshold limit of Rs 7,50,000 on the overall contribution done by the employer towards NPS, PF and superannuation combined. Any excess amount will be taxable.</t>
  </si>
  <si>
    <t>5.All contributions to Agniveer Corpus Fund (section 80CCH)</t>
  </si>
  <si>
    <t>6. Default Regime: Starting from FY 2023-24, the new income tax regime will be set as the default option. If you want to continue using the old regime, you must submit the income tax return along with Form 10-IEA before the due date. You will have the option to switch between the two regimes annually to check the tax benefits.</t>
  </si>
  <si>
    <t>Exemptions:</t>
  </si>
  <si>
    <t>1. Exemption on leave encashment is available under the new tax regime, the exemption threshold is ₹25 lakhs for non-government employees, at the time of retirement, leave encashment of up to ₹25 lakhs is tax-free under Section 10(10AA).</t>
  </si>
  <si>
    <t>Section</t>
  </si>
  <si>
    <t>Type of Investment</t>
  </si>
  <si>
    <t>Proofs to be submitted by an employee</t>
  </si>
  <si>
    <t>Remarks</t>
  </si>
  <si>
    <t>E X E M P T I O N    U N D E R   S E C T I O N    80C</t>
  </si>
  <si>
    <t>Life Insurance Premium</t>
  </si>
  <si>
    <t xml:space="preserve">a. Employee needs to Submit paid  Life Insurance Premium receipts for Self, Spouse and Childrens for the F.Y.25-26. 
b. If employees name is not there on Life Insurance Receipts, employee is required to   submit the letter, stating that these premiums are paid by myself and my spouse is not claiming the same for tax exemption. If any queries raised by Income Tax Department or any other Departments then Just Dial will not be responsible.
U/s 80C of the Income Tax Act, Insurance premium cannot exceed the maximum ceiling given below:
If policy is taken before 1/4/2012 – 20% of sum assured
If policy is taken after 1/4/2012- 10% of sum assured
*In case policy is taken on life of a person with disability or life of a person suffering from disease or ailment as given in section 80DDB and policy is taken after 1/4/2013 – 15% of sum assured.
</t>
  </si>
  <si>
    <t>E X E M P T I O N Upto Rs. 1,50,000/- ( One Lakh Fifty Thousand Only )</t>
  </si>
  <si>
    <t>Deferred annuity / Annuity plan</t>
  </si>
  <si>
    <t xml:space="preserve">Paid Premium receipts for the F.Y.25-26. </t>
  </si>
  <si>
    <t>Public Provident Fund</t>
  </si>
  <si>
    <t>a. PPF Passbook duly stamped by respective Banks for the F.Y.25-26. 
b. Payment Receipts for the F.Y.25-26. will be accepted.
C. In Case Passbook not available then employee has to provide the copy of Screenshot of Online Passbook.</t>
  </si>
  <si>
    <t>National Savings Certificates (VIII Issue)</t>
  </si>
  <si>
    <t xml:space="preserve">Certificate towards Investment in NSC for the F.Y.25-26. </t>
  </si>
  <si>
    <t>Unit-linked Insurance Plan</t>
  </si>
  <si>
    <t xml:space="preserve">Only paid Premium receipts for the F.Y.25-26. </t>
  </si>
  <si>
    <t>Mutual Fund Investment</t>
  </si>
  <si>
    <t xml:space="preserve">The statement of Tax Saving Mutual Fund for the F.Y.25-26. </t>
  </si>
  <si>
    <t xml:space="preserve">Tuition fees </t>
  </si>
  <si>
    <t>Tution Fees receipts along with School's Stamp affixed ( only Tuition Fees are allowed for exemption ).</t>
  </si>
  <si>
    <t xml:space="preserve">Repayment of Principal amount of Housing Loan  or Stamp Duty </t>
  </si>
  <si>
    <t>a.Housing Loan Certificate showing breakup of principal and interest amount, received from Bank for the F.Y.25-26. 
b. Possession Letter received for 1st Owner
C. Sale Purchase aggrement for 2nd Owner</t>
  </si>
  <si>
    <t>Five Years Term Deposit / Time Deposit</t>
  </si>
  <si>
    <t xml:space="preserve">Term/Fix Deposit Receipt provided by Schdeule Bank towards investment made in F.Y.22-23. </t>
  </si>
  <si>
    <t>Pension scheme of Central Government.</t>
  </si>
  <si>
    <t>Receipts of payments.</t>
  </si>
  <si>
    <t>Sukanya Samriddhi Scheme</t>
  </si>
  <si>
    <t xml:space="preserve">Passbook duly stamped by respective Banks for the F.Y.25-26. </t>
  </si>
  <si>
    <t>Pension fund set up by any Mutual Fund</t>
  </si>
  <si>
    <t>Receipts of contibution made in such funds / Statement of accounts</t>
  </si>
  <si>
    <t xml:space="preserve">Public Deposit Scheme of HUDCO </t>
  </si>
  <si>
    <t>Receipts of payments / Deposit Certificate</t>
  </si>
  <si>
    <t>Equity shares or Debentures - New issue of  public company in infrastructure facility</t>
  </si>
  <si>
    <t>Contract note from Broker</t>
  </si>
  <si>
    <t>Bonds issued by the National Bank for Agriculture and Rural Development (NABARD)</t>
  </si>
  <si>
    <t>Deposit in Senior Citizens Savings Scheme</t>
  </si>
  <si>
    <t>Deposite Certificate</t>
  </si>
  <si>
    <t>80 CCC</t>
  </si>
  <si>
    <t>Pension Fund for any annuity plan</t>
  </si>
  <si>
    <t>80CCD</t>
  </si>
  <si>
    <t>NPS-New Pension Scheme &amp; Atal Pension Yojna</t>
  </si>
  <si>
    <t>Receipts of payments.
Maximum exemption 10% of Salary</t>
  </si>
  <si>
    <t>80CCD(1B)</t>
  </si>
  <si>
    <t>Additional contribution upto Rs. 50,000 will be allowable as deduction.(no deduction under this sub-section shall be allowed in respect of the amount on which a deduction has been claimed and allowed under sub-section (1) of Section 80CCD)</t>
  </si>
  <si>
    <t>80 U</t>
  </si>
  <si>
    <t>Person with disability</t>
  </si>
  <si>
    <t>Ceritificate of disability issued by Government Authority.</t>
  </si>
  <si>
    <t>Employee will get the exemption only on submission of Disability Certificate from Medical Authority in Form 10-IA :-</t>
  </si>
  <si>
    <t>1 ) Up to Rs.75,000 if disability is over 40%</t>
  </si>
  <si>
    <t>2 ) Rs.1,25,000 if disability is severe and is more than 80%. As per certificate</t>
  </si>
  <si>
    <t>80 D</t>
  </si>
  <si>
    <t>Medical Insurance Premium</t>
  </si>
  <si>
    <t>Receipts and Certificate issued by various Mediclaim companies.</t>
  </si>
  <si>
    <t xml:space="preserve">- for an employee and his/her spouse, dependent children Rs. 25000/- ( Rs 50,000/- in case of employee/spouse/dependent children being 60 years old &amp; above)
Additional Deduction:
- for an employee's parent(s) Rs. 25000/- ( Rs 50,000/- in case of 60 years old &amp; above) 
Note: In case of single premium health insurance policies having cover of more than one year, the deduction shall be allowed on proportionate basis for the number of years for which health insurance cover is provided, subject to the specified monetary limit.
Further, deduction for a preventive health check up up to Rs. 5,000 will be available u/s 80D. However, it is subsumed within overall limit of section 80D
</t>
  </si>
  <si>
    <t>80 DD</t>
  </si>
  <si>
    <t>Maintenance of a dependant person with disability</t>
  </si>
  <si>
    <t>Employee will get the exemption only on submission of Disability Certificate of the Dependent person with disability obtained from Medical Authority in Form 10-I :-</t>
  </si>
  <si>
    <t>Exemption will be lower of following :-</t>
  </si>
  <si>
    <t>1 ) Up to Rs.75,000 if disability is over 40% to 80%</t>
  </si>
  <si>
    <t>2 ) Rs.1,25,000 if disability is severe i.e. over 80%. As per certificate</t>
  </si>
  <si>
    <t>80 DDB</t>
  </si>
  <si>
    <t>Medical Treatment for specified disease or ailment</t>
  </si>
  <si>
    <t>Employee will get the exemption only on submission of Form 10-I obtained from Medical Authority :-</t>
  </si>
  <si>
    <t xml:space="preserve">For less than 60 years old - Lower of Rs 40,000 or the amount actually paid
For more than 60 years old - Lower of Rs 1,00,000 or the amount actually paid
</t>
  </si>
  <si>
    <t>80 E</t>
  </si>
  <si>
    <t>Payment of Interest on loan taken for higher education</t>
  </si>
  <si>
    <t>1 ) Certificate of completion of Higher Studies.</t>
  </si>
  <si>
    <t>2 ) Loan Certificate received from Bank.</t>
  </si>
  <si>
    <t>Amount paid by Employee during the financial year on loan taken for higher education of employee,  Amount is exempted will be entire amount of interest ( for 1st year in which the assessee starts paying the interest + 7 Years or till interest paid in full, whichever is earlier)</t>
  </si>
  <si>
    <t>80EE</t>
  </si>
  <si>
    <t xml:space="preserve">Payment of Interest on home loan taken in FY 2016-17 for first time home owners </t>
  </si>
  <si>
    <t>Interest Payable Certificate received from Bank for the F.Y.25-26.</t>
  </si>
  <si>
    <t>An additional deduction of Rs 50,000 can be claimed on home loan interest. This is in addition to deduction of Rs 2,00,000 allowed under section 24 of the Income Tax Act for a self-occupied house property.</t>
  </si>
  <si>
    <t>The deduction under this section is available only to an individual who is a first time home owner. The value of the property purchased must be less than Rs 50 lakh and the home loan must be less than Rs 35 lakh. The loan must be taken from a financial institution and must have been sanctioned between 01.04.2016 to 31.03.2017</t>
  </si>
  <si>
    <t>If you’re claiming this deduction in FY 2016-17, then you can continue to claim this deduction till the loan is repaid. No Deduction for loan sanctioned after FY 2016-17.</t>
  </si>
  <si>
    <t>10(13A)</t>
  </si>
  <si>
    <t>HRA - Rent Receipts</t>
  </si>
  <si>
    <t>Monthly Or Quarterly Rent Receipts along with pan card no of the lanlord for rent above Rs.100,000/- p.a. or Rs. 8,333/- p.m.</t>
  </si>
  <si>
    <t>Deduction on  - interest payable on loan taken for the purpose of acquisition or construction of a residential house property
Conditions for deduction;-
(i) the property consists of a house or part of a house which-(a) is in the occupation of the owner for the purposes of his own residence (b)cannot actually be occupied by the owner by reason of the fact that owing to his employment at any other place, he has to reside at that other place in a building not belonging to him,
(ii) deduction not availbale if - (a) the house or part of the house is actually let during the whole or any part of the previous year; or (b) any other benefit therefrom is derived by the owner.
(iii) in case of more than two house property-(a) deduction shall apply only in respect of two of such houses at the option of assessee, (b)  other than the house in respect of which the assessee has exercised an option under clause (a), shall be deemed to be let out.</t>
  </si>
  <si>
    <t>Interest on Housing Loan - SOP</t>
  </si>
  <si>
    <t xml:space="preserve">1. Exemption Certificate received from Bank for the F.Y.25-26. </t>
  </si>
  <si>
    <t>2. Possession Letter received from Builder for 1st Owner.</t>
  </si>
  <si>
    <t>3. Purchase Agreement Copy for Second Owner.</t>
  </si>
  <si>
    <t>Employee will be eligible for Exemption upto Rs.2 lac</t>
  </si>
  <si>
    <t>Interest on Housing Loan - LOP</t>
  </si>
  <si>
    <t>2. Possession letter or Purchase Agreement.</t>
  </si>
  <si>
    <t>3. Rental agreement with Tenant.</t>
  </si>
  <si>
    <t>4. Municipal Tax payment Receipt if any.</t>
  </si>
  <si>
    <t>5. Form 12 BB duly filled &amp; signed by an employee</t>
  </si>
  <si>
    <t>Eligibility for employee in LOP, net loss after adjustment with rental income should be max Rs 2 lacs.</t>
  </si>
  <si>
    <t>80EEA</t>
  </si>
  <si>
    <t>Interest on loan taken during April 19 to Mar 22</t>
  </si>
  <si>
    <t xml:space="preserve">Deduction on  - interest payable on loan taken from any financial institution for the purpose of acquisition of a residential house property
Limit of deduction – 1,50,000/-
Conditions for deduction;-
(i) the loan has been sanctioned by the financial institution during the period beginning on the 1st day of April, 2019 and ending on the 31st day of March, 2022;
(ii) the stamp duty value of residential house property does not exceed forty-five lakh rupees;
(iii) the assessee does not own any residential house property on the date of sanction of loan.
(iv) If deduction under this section is taken for interest payment on loan for house property,  than no deduction shall be allowed for such interest under any other provisions of the income tax act.
</t>
  </si>
  <si>
    <t>for purchase of Residential House Property</t>
  </si>
  <si>
    <t xml:space="preserve">Interest payable Certificate received from Bank for the F.Y 23-24. </t>
  </si>
  <si>
    <r>
      <t xml:space="preserve">The deduction under this section is available only to an individual who is a </t>
    </r>
    <r>
      <rPr>
        <b/>
        <sz val="11"/>
        <color rgb="FFFF0000"/>
        <rFont val="Segoe UI"/>
        <family val="2"/>
      </rPr>
      <t>first time home owner</t>
    </r>
    <r>
      <rPr>
        <sz val="11"/>
        <color theme="1"/>
        <rFont val="Segoe UI"/>
        <family val="2"/>
      </rPr>
      <t>. The value of the property purchased must be less than Rs 45 lakh .The loan must be taken from a financial institution and must have been sanctioned between 01.04.19 to 31.03.22</t>
    </r>
  </si>
  <si>
    <t xml:space="preserve">If you’re claiming this deduction in FY 22-23. then you can continue to claim this deduction till the loan is repaid. No Deduction for loan sanctioned after FY 21-22. </t>
  </si>
  <si>
    <t>80EEB</t>
  </si>
  <si>
    <t>Interest paid on loan taken for the purchase of 
electric vehicle</t>
  </si>
  <si>
    <t xml:space="preserve">Interest Payable Certificate received from Bank for the F.Y.22-23. </t>
  </si>
  <si>
    <t>Deduction on - interest payable on loan taken for the purpose of purchase of an electric vehicle. “electric vehicle” means a vehicle which is powered exclusively by an electric motor whose traction energy is supplied exclusively by traction battery installed in the vehicle and has such electric regenerative braking system, which during braking provides for the conversion of vehicle kinetic energy into electrical energy;
Limit of deduction – 1,50,000/-
Conditions for deduction ;- 
(i) the loan has been sanctioned by the financial institution during the period beginning on the 1st day of April, 2019 and ending on the 31st day of March, 2023;
(ii) the assessee does not own any other electric vehicle on the date of sanction of loan.
(iii) If deduction under this section is taken for interest payment on loan uner this section,  than no deduction shall be allowed for such interest under any other provisions of the income tax act.</t>
  </si>
  <si>
    <t>The deduction under this section is available only to an individual who is a first time home owner. The value of the property purchased must be less than Rs 45 lakh .The loan must be taken from a financial institution and must have been sanctioned between 01.04.19 to 31.03.23</t>
  </si>
  <si>
    <t>If you’re claiming this deduction in FY 2019-20, then you can continue to claim this deduction till the loan is repaid. No Deduction for loan sanctioned after FY 2022-23</t>
  </si>
  <si>
    <t>📝 Instructions to Use the Excel Tax Calculator</t>
  </si>
  <si>
    <t>1. Start with Basic Details</t>
  </si>
  <si>
    <t>2. Input in Highlighted Cells</t>
  </si>
  <si>
    <t>3. Follow On-Cell Instructions</t>
  </si>
  <si>
    <t>4. Pay Attention to Regime-Based Differences</t>
  </si>
  <si>
    <t>5. Use the HRA Calculator Sheet</t>
  </si>
  <si>
    <t>6. Review the Tax Summary</t>
  </si>
  <si>
    <t>7. Benefit Sheets for Each Regime</t>
  </si>
  <si>
    <r>
      <t xml:space="preserve">Enter your </t>
    </r>
    <r>
      <rPr>
        <b/>
        <sz val="11"/>
        <color theme="1"/>
        <rFont val="Segoe UI"/>
        <family val="2"/>
      </rPr>
      <t>Name</t>
    </r>
    <r>
      <rPr>
        <sz val="11"/>
        <color theme="1"/>
        <rFont val="Segoe UI"/>
        <family val="2"/>
      </rPr>
      <t xml:space="preserve">, </t>
    </r>
    <r>
      <rPr>
        <b/>
        <sz val="11"/>
        <color theme="1"/>
        <rFont val="Segoe UI"/>
        <family val="2"/>
      </rPr>
      <t>Age</t>
    </r>
    <r>
      <rPr>
        <sz val="11"/>
        <color theme="1"/>
        <rFont val="Segoe UI"/>
        <family val="2"/>
      </rPr>
      <t xml:space="preserve">, </t>
    </r>
    <r>
      <rPr>
        <b/>
        <sz val="11"/>
        <color theme="1"/>
        <rFont val="Segoe UI"/>
        <family val="2"/>
      </rPr>
      <t>Residential Status</t>
    </r>
    <r>
      <rPr>
        <sz val="11"/>
        <color theme="1"/>
        <rFont val="Segoe UI"/>
        <family val="2"/>
      </rPr>
      <t xml:space="preserve">, and your </t>
    </r>
    <r>
      <rPr>
        <b/>
        <sz val="11"/>
        <color theme="1"/>
        <rFont val="Segoe UI"/>
        <family val="2"/>
      </rPr>
      <t>Parents' Age</t>
    </r>
    <r>
      <rPr>
        <sz val="11"/>
        <color theme="1"/>
        <rFont val="Segoe UI"/>
        <family val="2"/>
      </rPr>
      <t xml:space="preserve"> (if applicable).</t>
    </r>
  </si>
  <si>
    <r>
      <t xml:space="preserve">Fill values only in the </t>
    </r>
    <r>
      <rPr>
        <b/>
        <sz val="11"/>
        <color theme="1"/>
        <rFont val="Segoe UI"/>
        <family val="2"/>
      </rPr>
      <t>orange shade-coloured cells</t>
    </r>
    <r>
      <rPr>
        <sz val="11"/>
        <color theme="1"/>
        <rFont val="Segoe UI"/>
        <family val="2"/>
      </rPr>
      <t xml:space="preserve"> where applicable. Ensure all other input cells remain at </t>
    </r>
    <r>
      <rPr>
        <b/>
        <sz val="11"/>
        <color theme="1"/>
        <rFont val="Segoe UI"/>
        <family val="2"/>
      </rPr>
      <t>zero</t>
    </r>
    <r>
      <rPr>
        <sz val="11"/>
        <color theme="1"/>
        <rFont val="Segoe UI"/>
        <family val="2"/>
      </rPr>
      <t xml:space="preserve"> if not relevant.</t>
    </r>
  </si>
  <si>
    <r>
      <t xml:space="preserve">When you click any input cell, </t>
    </r>
    <r>
      <rPr>
        <b/>
        <sz val="11"/>
        <color theme="1"/>
        <rFont val="Segoe UI"/>
        <family val="2"/>
      </rPr>
      <t>tooltips will guide you</t>
    </r>
    <r>
      <rPr>
        <sz val="11"/>
        <color theme="1"/>
        <rFont val="Segoe UI"/>
        <family val="2"/>
      </rPr>
      <t xml:space="preserve"> with what needs to be entered — making it easier and error-free.</t>
    </r>
  </si>
  <si>
    <r>
      <t xml:space="preserve">In a few cases, input rules vary for the </t>
    </r>
    <r>
      <rPr>
        <b/>
        <sz val="11"/>
        <color theme="1"/>
        <rFont val="Segoe UI"/>
        <family val="2"/>
      </rPr>
      <t>Old and New Tax Regimes</t>
    </r>
    <r>
      <rPr>
        <sz val="11"/>
        <color theme="1"/>
        <rFont val="Segoe UI"/>
        <family val="2"/>
      </rPr>
      <t>. You may need to enter values separately for each regime as per instructions shown.</t>
    </r>
  </si>
  <si>
    <r>
      <t xml:space="preserve">For accurate </t>
    </r>
    <r>
      <rPr>
        <b/>
        <sz val="11"/>
        <color theme="1"/>
        <rFont val="Segoe UI"/>
        <family val="2"/>
      </rPr>
      <t>House Rent Allowance (HRA) exemption</t>
    </r>
    <r>
      <rPr>
        <sz val="11"/>
        <color theme="1"/>
        <rFont val="Segoe UI"/>
        <family val="2"/>
      </rPr>
      <t xml:space="preserve">, use the </t>
    </r>
    <r>
      <rPr>
        <b/>
        <sz val="11"/>
        <color theme="1"/>
        <rFont val="Segoe UI"/>
        <family val="2"/>
      </rPr>
      <t>HRA Calculator</t>
    </r>
    <r>
      <rPr>
        <sz val="11"/>
        <color theme="1"/>
        <rFont val="Segoe UI"/>
        <family val="2"/>
      </rPr>
      <t xml:space="preserve"> sheet and input the eligible exemption in the main calculator.</t>
    </r>
  </si>
  <si>
    <r>
      <t xml:space="preserve">The </t>
    </r>
    <r>
      <rPr>
        <b/>
        <sz val="11"/>
        <color theme="1"/>
        <rFont val="Segoe UI"/>
        <family val="2"/>
      </rPr>
      <t>Tax Summary Sheet</t>
    </r>
    <r>
      <rPr>
        <sz val="11"/>
        <color theme="1"/>
        <rFont val="Segoe UI"/>
        <family val="2"/>
      </rPr>
      <t xml:space="preserve"> gives a consolidated view of your </t>
    </r>
    <r>
      <rPr>
        <b/>
        <sz val="11"/>
        <color theme="1"/>
        <rFont val="Segoe UI"/>
        <family val="2"/>
      </rPr>
      <t>Incomes, Deductions, and Total Tax Liability</t>
    </r>
    <r>
      <rPr>
        <sz val="11"/>
        <color theme="1"/>
        <rFont val="Segoe UI"/>
        <family val="2"/>
      </rPr>
      <t xml:space="preserve"> under both regimes.</t>
    </r>
  </si>
  <si>
    <r>
      <t xml:space="preserve">Separate sheets are provided to show tax benefits under the </t>
    </r>
    <r>
      <rPr>
        <b/>
        <sz val="11"/>
        <color theme="1"/>
        <rFont val="Segoe UI"/>
        <family val="2"/>
      </rPr>
      <t>Old Regime</t>
    </r>
    <r>
      <rPr>
        <sz val="11"/>
        <color theme="1"/>
        <rFont val="Segoe UI"/>
        <family val="2"/>
      </rPr>
      <t xml:space="preserve"> and </t>
    </r>
    <r>
      <rPr>
        <b/>
        <sz val="11"/>
        <color theme="1"/>
        <rFont val="Segoe UI"/>
        <family val="2"/>
      </rPr>
      <t>New Regime</t>
    </r>
    <r>
      <rPr>
        <sz val="11"/>
        <color theme="1"/>
        <rFont val="Segoe UI"/>
        <family val="2"/>
      </rPr>
      <t xml:space="preserve"> — updated as per </t>
    </r>
    <r>
      <rPr>
        <b/>
        <sz val="11"/>
        <color theme="1"/>
        <rFont val="Segoe UI"/>
        <family val="2"/>
      </rPr>
      <t>Budget 2025</t>
    </r>
    <r>
      <rPr>
        <sz val="11"/>
        <color theme="1"/>
        <rFont val="Segoe UI"/>
        <family val="2"/>
      </rPr>
      <t>.</t>
    </r>
  </si>
  <si>
    <t>3. Home Loan interest u/s 24b only on Let-out property limited to the extent of taxable rental income. Technically interest will get nullified and  any excess interest will not be carried forward/set-off with any other incomes.</t>
  </si>
  <si>
    <t>⚠️ Important:
If you’re paying monthly house rent above ₹50,000, be aware — the Income Tax Department is sending notices for non-compliance.
As per Section 194-IB of the Income Tax Act,
👉 If you’re an individual or HUF (not in business or audit),
👉 And you pay rent more than ₹50,000 per month,
👉 Then you must deduct TDS @2% and deposit it with the government.</t>
  </si>
  <si>
    <r>
      <t xml:space="preserve">TDS to be deducted for the year @2% </t>
    </r>
    <r>
      <rPr>
        <i/>
        <sz val="14"/>
        <rFont val="Segoe UI"/>
        <family val="2"/>
      </rPr>
      <t>(refer notes)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</si>
</sst>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 #,##0_-;_-* &quot;-&quot;??_-;_-@"/>
    <numFmt numFmtId="166" formatCode="_ * #,##0_ ;_ * \-#,##0_ ;_ * &quot;-&quot;??_ ;_ @_ "/>
    <numFmt numFmtId="167" formatCode="[$₹-4009]\ #,##0.00"/>
    <numFmt numFmtId="168" formatCode="[$₹-4009]\ #,##0;[$₹-4009]\ \-#,##0"/>
    <numFmt numFmtId="169" formatCode="[$₹-4009]\ #,##0"/>
  </numFmts>
  <fonts count="69" x14ac:knownFonts="1">
    <font>
      <sz val="11"/>
      <color theme="1"/>
      <name val="Aptos Narrow"/>
      <family val="2"/>
      <scheme val="minor"/>
    </font>
    <font>
      <sz val="11"/>
      <color theme="1"/>
      <name val="Aptos Narrow"/>
      <family val="2"/>
      <scheme val="minor"/>
    </font>
    <font>
      <sz val="18"/>
      <color theme="3"/>
      <name val="Aptos Display"/>
      <family val="2"/>
      <scheme val="major"/>
    </font>
    <font>
      <b/>
      <sz val="11"/>
      <color theme="3"/>
      <name val="Aptos Narrow"/>
      <family val="2"/>
      <scheme val="minor"/>
    </font>
    <font>
      <sz val="11"/>
      <color rgb="FF006100"/>
      <name val="Aptos Narrow"/>
      <family val="2"/>
      <scheme val="minor"/>
    </font>
    <font>
      <sz val="11"/>
      <color rgb="FF3F3F76"/>
      <name val="Aptos Narrow"/>
      <family val="2"/>
      <scheme val="minor"/>
    </font>
    <font>
      <b/>
      <sz val="11"/>
      <color rgb="FF3F3F3F"/>
      <name val="Aptos Narrow"/>
      <family val="2"/>
      <scheme val="minor"/>
    </font>
    <font>
      <i/>
      <sz val="11"/>
      <color rgb="FF7F7F7F"/>
      <name val="Aptos Narrow"/>
      <family val="2"/>
      <scheme val="minor"/>
    </font>
    <font>
      <u/>
      <sz val="11"/>
      <color theme="10"/>
      <name val="Aptos Narrow"/>
      <family val="2"/>
      <scheme val="minor"/>
    </font>
    <font>
      <sz val="10"/>
      <color theme="1"/>
      <name val="Aptos Narrow"/>
      <family val="2"/>
      <scheme val="minor"/>
    </font>
    <font>
      <sz val="14"/>
      <color theme="1"/>
      <name val="Aptos Narrow"/>
      <family val="2"/>
      <scheme val="minor"/>
    </font>
    <font>
      <sz val="14"/>
      <color rgb="FF3F3F76"/>
      <name val="Aptos Narrow"/>
      <family val="2"/>
      <scheme val="minor"/>
    </font>
    <font>
      <b/>
      <sz val="14"/>
      <name val="Aptos Narrow"/>
      <family val="2"/>
      <scheme val="minor"/>
    </font>
    <font>
      <b/>
      <sz val="14"/>
      <color theme="1"/>
      <name val="Aptos Narrow"/>
      <family val="2"/>
      <scheme val="minor"/>
    </font>
    <font>
      <sz val="14"/>
      <color rgb="FF000000"/>
      <name val="Aptos Narrow"/>
      <family val="2"/>
      <scheme val="minor"/>
    </font>
    <font>
      <b/>
      <sz val="14"/>
      <color rgb="FF3F3F3F"/>
      <name val="Aptos Narrow"/>
      <family val="2"/>
      <scheme val="minor"/>
    </font>
    <font>
      <u/>
      <sz val="14"/>
      <color theme="10"/>
      <name val="Aptos Narrow"/>
      <family val="2"/>
      <scheme val="minor"/>
    </font>
    <font>
      <b/>
      <i/>
      <sz val="14"/>
      <color theme="1"/>
      <name val="Aptos Narrow"/>
      <family val="2"/>
      <scheme val="minor"/>
    </font>
    <font>
      <i/>
      <sz val="14"/>
      <color theme="1" tint="0.499984740745262"/>
      <name val="Aptos Narrow"/>
      <family val="2"/>
      <scheme val="minor"/>
    </font>
    <font>
      <sz val="14"/>
      <name val="Aptos Narrow"/>
      <family val="2"/>
      <scheme val="minor"/>
    </font>
    <font>
      <b/>
      <sz val="36"/>
      <color theme="0"/>
      <name val="Aptos Display"/>
      <family val="2"/>
      <scheme val="major"/>
    </font>
    <font>
      <u/>
      <sz val="16"/>
      <color theme="10"/>
      <name val="Aptos Narrow"/>
      <family val="2"/>
      <scheme val="minor"/>
    </font>
    <font>
      <i/>
      <sz val="14"/>
      <color theme="2" tint="-0.499984740745262"/>
      <name val="Aptos Narrow"/>
      <family val="2"/>
      <scheme val="minor"/>
    </font>
    <font>
      <b/>
      <sz val="14"/>
      <color rgb="FF006100"/>
      <name val="Aptos Narrow"/>
      <family val="2"/>
      <scheme val="minor"/>
    </font>
    <font>
      <sz val="11"/>
      <color theme="0"/>
      <name val="Aptos Narrow"/>
      <family val="2"/>
      <scheme val="minor"/>
    </font>
    <font>
      <sz val="11"/>
      <color theme="1"/>
      <name val="Segoe UI"/>
      <family val="2"/>
    </font>
    <font>
      <b/>
      <sz val="14"/>
      <color rgb="FF3F3F3F"/>
      <name val="Segoe UI"/>
      <family val="2"/>
    </font>
    <font>
      <b/>
      <sz val="20"/>
      <color rgb="FF3F3F3F"/>
      <name val="Segoe UI"/>
      <family val="2"/>
    </font>
    <font>
      <sz val="9"/>
      <color theme="2" tint="-0.749992370372631"/>
      <name val="Segoe UI"/>
      <family val="2"/>
    </font>
    <font>
      <sz val="9"/>
      <color theme="1"/>
      <name val="Segoe UI"/>
      <family val="2"/>
    </font>
    <font>
      <b/>
      <sz val="18"/>
      <color rgb="FF3F3F3F"/>
      <name val="Segoe UI"/>
      <family val="2"/>
    </font>
    <font>
      <b/>
      <sz val="12"/>
      <color theme="2" tint="-0.749992370372631"/>
      <name val="Segoe UI"/>
      <family val="2"/>
    </font>
    <font>
      <b/>
      <sz val="14"/>
      <color theme="2" tint="-0.749992370372631"/>
      <name val="Segoe UI"/>
      <family val="2"/>
    </font>
    <font>
      <sz val="16"/>
      <color theme="1"/>
      <name val="Aptos Narrow"/>
      <family val="2"/>
      <scheme val="minor"/>
    </font>
    <font>
      <b/>
      <sz val="16"/>
      <color rgb="FF003366"/>
      <name val="Aptos Narrow"/>
      <family val="2"/>
      <scheme val="minor"/>
    </font>
    <font>
      <i/>
      <sz val="9"/>
      <color theme="1"/>
      <name val="Aptos Narrow"/>
      <family val="2"/>
      <scheme val="minor"/>
    </font>
    <font>
      <b/>
      <sz val="12"/>
      <color theme="9"/>
      <name val="Segoe UI"/>
      <family val="2"/>
    </font>
    <font>
      <b/>
      <sz val="14"/>
      <color theme="9"/>
      <name val="Segoe UI"/>
      <family val="2"/>
    </font>
    <font>
      <b/>
      <sz val="20"/>
      <name val="Segoe UI"/>
      <family val="2"/>
    </font>
    <font>
      <sz val="14"/>
      <name val="Segoe UI"/>
      <family val="2"/>
    </font>
    <font>
      <b/>
      <sz val="14"/>
      <name val="Segoe UI"/>
      <family val="2"/>
    </font>
    <font>
      <sz val="14"/>
      <color rgb="FF3F3F76"/>
      <name val="Segoe UI"/>
      <family val="2"/>
    </font>
    <font>
      <i/>
      <sz val="14"/>
      <color rgb="FF314259"/>
      <name val="Segoe UI"/>
      <family val="2"/>
    </font>
    <font>
      <sz val="14"/>
      <color rgb="FF314259"/>
      <name val="Segoe UI"/>
      <family val="2"/>
    </font>
    <font>
      <i/>
      <sz val="14"/>
      <name val="Segoe UI"/>
      <family val="2"/>
    </font>
    <font>
      <b/>
      <sz val="16"/>
      <name val="Segoe UI"/>
      <family val="2"/>
    </font>
    <font>
      <b/>
      <sz val="16"/>
      <color rgb="FF3F3F76"/>
      <name val="Segoe UI"/>
      <family val="2"/>
    </font>
    <font>
      <sz val="11"/>
      <color theme="0"/>
      <name val="Segoe UI"/>
      <family val="2"/>
    </font>
    <font>
      <i/>
      <sz val="9"/>
      <color theme="1"/>
      <name val="Segoe UI"/>
      <family val="2"/>
    </font>
    <font>
      <b/>
      <sz val="11"/>
      <color theme="9"/>
      <name val="Segoe UI"/>
      <family val="2"/>
    </font>
    <font>
      <b/>
      <sz val="33"/>
      <color rgb="FF12A253"/>
      <name val="Segoe UI"/>
      <family val="2"/>
    </font>
    <font>
      <b/>
      <i/>
      <sz val="36"/>
      <color theme="0"/>
      <name val="Aptos Display"/>
      <family val="2"/>
      <scheme val="major"/>
    </font>
    <font>
      <b/>
      <i/>
      <sz val="12"/>
      <color theme="2" tint="-0.499984740745262"/>
      <name val="Segoe UI"/>
      <family val="2"/>
    </font>
    <font>
      <b/>
      <i/>
      <sz val="36"/>
      <color rgb="FFFFC000"/>
      <name val="Aptos Display"/>
      <family val="2"/>
      <scheme val="major"/>
    </font>
    <font>
      <i/>
      <sz val="11"/>
      <name val="Segoe UI"/>
      <family val="2"/>
    </font>
    <font>
      <b/>
      <sz val="14"/>
      <color rgb="FF3F3F76"/>
      <name val="Segoe UI"/>
      <family val="2"/>
    </font>
    <font>
      <i/>
      <sz val="14"/>
      <color rgb="FF4F4F4F"/>
      <name val="Aptos Narrow"/>
      <family val="2"/>
      <scheme val="minor"/>
    </font>
    <font>
      <b/>
      <i/>
      <sz val="14"/>
      <color rgb="FF4F4F4F"/>
      <name val="Aptos Narrow"/>
      <family val="2"/>
      <scheme val="minor"/>
    </font>
    <font>
      <i/>
      <sz val="16"/>
      <color rgb="FF4F4F4F"/>
      <name val="Aptos Narrow"/>
      <family val="2"/>
      <scheme val="minor"/>
    </font>
    <font>
      <sz val="10"/>
      <color theme="1"/>
      <name val="Segoe UI"/>
      <family val="2"/>
    </font>
    <font>
      <sz val="16"/>
      <color theme="1"/>
      <name val="Segoe UI"/>
      <family val="2"/>
    </font>
    <font>
      <b/>
      <sz val="11"/>
      <name val="Segoe UI"/>
      <family val="2"/>
    </font>
    <font>
      <sz val="11"/>
      <name val="Segoe UI"/>
      <family val="2"/>
    </font>
    <font>
      <b/>
      <sz val="7"/>
      <name val="Segoe UI"/>
      <family val="2"/>
    </font>
    <font>
      <b/>
      <sz val="11"/>
      <color theme="1"/>
      <name val="Segoe UI"/>
      <family val="2"/>
    </font>
    <font>
      <b/>
      <sz val="11"/>
      <color rgb="FFFF0000"/>
      <name val="Segoe UI"/>
      <family val="2"/>
    </font>
    <font>
      <b/>
      <sz val="13.5"/>
      <color theme="1"/>
      <name val="Segoe UI"/>
      <family val="2"/>
    </font>
    <font>
      <i/>
      <sz val="20"/>
      <color theme="1"/>
      <name val="Aptos Narrow"/>
      <family val="2"/>
      <scheme val="minor"/>
    </font>
    <font>
      <i/>
      <u/>
      <sz val="24"/>
      <color theme="10"/>
      <name val="Aptos Narrow"/>
      <family val="2"/>
      <scheme val="minor"/>
    </font>
  </fonts>
  <fills count="24">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theme="0"/>
        <bgColor rgb="FFC6D9F0"/>
      </patternFill>
    </fill>
    <fill>
      <patternFill patternType="solid">
        <fgColor theme="2"/>
        <bgColor indexed="64"/>
      </patternFill>
    </fill>
    <fill>
      <patternFill patternType="solid">
        <fgColor rgb="FFFFCC99"/>
        <bgColor indexed="64"/>
      </patternFill>
    </fill>
    <fill>
      <patternFill patternType="solid">
        <fgColor theme="4" tint="0.79998168889431442"/>
        <bgColor indexed="64"/>
      </patternFill>
    </fill>
    <fill>
      <patternFill patternType="solid">
        <fgColor rgb="FF29398D"/>
        <bgColor indexed="64"/>
      </patternFill>
    </fill>
    <fill>
      <patternFill patternType="solid">
        <fgColor rgb="FF99FF99"/>
        <bgColor indexed="64"/>
      </patternFill>
    </fill>
    <fill>
      <patternFill patternType="solid">
        <fgColor rgb="FFF3F6FB"/>
        <bgColor indexed="64"/>
      </patternFill>
    </fill>
    <fill>
      <patternFill patternType="solid">
        <fgColor theme="0" tint="-4.9989318521683403E-2"/>
        <bgColor indexed="64"/>
      </patternFill>
    </fill>
    <fill>
      <patternFill patternType="solid">
        <fgColor rgb="FF83F1B5"/>
        <bgColor indexed="64"/>
      </patternFill>
    </fill>
    <fill>
      <patternFill patternType="solid">
        <fgColor rgb="FFDCECFF"/>
        <bgColor indexed="64"/>
      </patternFill>
    </fill>
    <fill>
      <patternFill patternType="solid">
        <fgColor rgb="FFD9EAF7"/>
        <bgColor indexed="64"/>
      </patternFill>
    </fill>
    <fill>
      <patternFill patternType="solid">
        <fgColor rgb="FFF2F2F2"/>
        <bgColor indexed="64"/>
      </patternFill>
    </fill>
    <fill>
      <patternFill patternType="solid">
        <fgColor rgb="FFF1F2E3"/>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5" tint="0.59999389629810485"/>
        <bgColor indexed="64"/>
      </patternFill>
    </fill>
  </fills>
  <borders count="85">
    <border>
      <left/>
      <right/>
      <top/>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right/>
      <top style="medium">
        <color rgb="FF445AC8"/>
      </top>
      <bottom/>
      <diagonal/>
    </border>
    <border>
      <left style="medium">
        <color rgb="FF445AC8"/>
      </left>
      <right/>
      <top style="medium">
        <color rgb="FF445AC8"/>
      </top>
      <bottom style="medium">
        <color rgb="FF445AC8"/>
      </bottom>
      <diagonal/>
    </border>
    <border>
      <left/>
      <right/>
      <top style="medium">
        <color rgb="FF445AC8"/>
      </top>
      <bottom style="medium">
        <color rgb="FF445AC8"/>
      </bottom>
      <diagonal/>
    </border>
    <border>
      <left/>
      <right style="medium">
        <color rgb="FF445AC8"/>
      </right>
      <top style="medium">
        <color rgb="FF445AC8"/>
      </top>
      <bottom style="medium">
        <color rgb="FF445AC8"/>
      </bottom>
      <diagonal/>
    </border>
    <border>
      <left style="thick">
        <color rgb="FF8AC1FF"/>
      </left>
      <right/>
      <top/>
      <bottom/>
      <diagonal/>
    </border>
    <border>
      <left style="thick">
        <color rgb="FF003366"/>
      </left>
      <right/>
      <top/>
      <bottom/>
      <diagonal/>
    </border>
    <border>
      <left style="medium">
        <color rgb="FF83F1B5"/>
      </left>
      <right/>
      <top style="medium">
        <color rgb="FF83F1B5"/>
      </top>
      <bottom/>
      <diagonal/>
    </border>
    <border>
      <left/>
      <right/>
      <top style="medium">
        <color rgb="FF83F1B5"/>
      </top>
      <bottom/>
      <diagonal/>
    </border>
    <border>
      <left/>
      <right style="medium">
        <color rgb="FF83F1B5"/>
      </right>
      <top style="medium">
        <color rgb="FF83F1B5"/>
      </top>
      <bottom/>
      <diagonal/>
    </border>
    <border>
      <left style="medium">
        <color rgb="FF83F1B5"/>
      </left>
      <right/>
      <top/>
      <bottom/>
      <diagonal/>
    </border>
    <border>
      <left/>
      <right style="medium">
        <color rgb="FF83F1B5"/>
      </right>
      <top/>
      <bottom/>
      <diagonal/>
    </border>
    <border>
      <left style="medium">
        <color rgb="FF83F1B5"/>
      </left>
      <right/>
      <top/>
      <bottom style="medium">
        <color rgb="FF83F1B5"/>
      </bottom>
      <diagonal/>
    </border>
    <border>
      <left/>
      <right/>
      <top/>
      <bottom style="medium">
        <color rgb="FF83F1B5"/>
      </bottom>
      <diagonal/>
    </border>
    <border>
      <left/>
      <right style="medium">
        <color rgb="FF83F1B5"/>
      </right>
      <top/>
      <bottom style="medium">
        <color rgb="FF83F1B5"/>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style="thin">
        <color rgb="FF3F3F3F"/>
      </left>
      <right style="medium">
        <color theme="0" tint="-0.34998626667073579"/>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right style="thin">
        <color rgb="FF000000"/>
      </right>
      <top/>
      <bottom style="medium">
        <color theme="0" tint="-0.34998626667073579"/>
      </bottom>
      <diagonal/>
    </border>
    <border>
      <left style="thin">
        <color indexed="64"/>
      </left>
      <right style="medium">
        <color theme="0" tint="-0.34998626667073579"/>
      </right>
      <top/>
      <bottom style="medium">
        <color theme="0" tint="-0.34998626667073579"/>
      </bottom>
      <diagonal/>
    </border>
    <border>
      <left style="medium">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rgb="FF3F3F3F"/>
      </right>
      <top/>
      <bottom style="medium">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style="medium">
        <color rgb="FFFFC000"/>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top/>
      <bottom style="medium">
        <color rgb="FFFFC000"/>
      </bottom>
      <diagonal/>
    </border>
    <border>
      <left/>
      <right style="medium">
        <color rgb="FFFFC000"/>
      </right>
      <top/>
      <bottom style="medium">
        <color rgb="FFFFC000"/>
      </bottom>
      <diagonal/>
    </border>
    <border>
      <left/>
      <right style="medium">
        <color theme="0" tint="-0.34998626667073579"/>
      </right>
      <top/>
      <bottom style="medium">
        <color theme="0" tint="-0.34998626667073579"/>
      </bottom>
      <diagonal/>
    </border>
    <border>
      <left/>
      <right/>
      <top style="thin">
        <color theme="0" tint="-0.34998626667073579"/>
      </top>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diagonal/>
    </border>
    <border>
      <left/>
      <right style="thin">
        <color theme="2" tint="-0.249977111117893"/>
      </right>
      <top/>
      <bottom/>
      <diagonal/>
    </border>
    <border>
      <left style="medium">
        <color theme="2" tint="-9.9978637043366805E-2"/>
      </left>
      <right style="medium">
        <color theme="2" tint="-9.9978637043366805E-2"/>
      </right>
      <top style="medium">
        <color theme="2" tint="-9.9978637043366805E-2"/>
      </top>
      <bottom/>
      <diagonal/>
    </border>
    <border>
      <left style="medium">
        <color theme="2" tint="-9.9978637043366805E-2"/>
      </left>
      <right style="medium">
        <color theme="2" tint="-9.9978637043366805E-2"/>
      </right>
      <top/>
      <bottom/>
      <diagonal/>
    </border>
    <border>
      <left style="medium">
        <color theme="2" tint="-9.9978637043366805E-2"/>
      </left>
      <right style="medium">
        <color theme="2" tint="-9.9978637043366805E-2"/>
      </right>
      <top/>
      <bottom style="medium">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10">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2" borderId="0" applyNumberFormat="0" applyBorder="0" applyAlignment="0" applyProtection="0"/>
    <xf numFmtId="0" fontId="5" fillId="3" borderId="2" applyNumberFormat="0" applyAlignment="0" applyProtection="0"/>
    <xf numFmtId="0" fontId="6" fillId="4" borderId="3" applyNumberFormat="0" applyAlignment="0" applyProtection="0"/>
    <xf numFmtId="0" fontId="1" fillId="5" borderId="4"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268">
    <xf numFmtId="0" fontId="0" fillId="0" borderId="0" xfId="0"/>
    <xf numFmtId="0" fontId="0" fillId="0" borderId="0" xfId="0" applyProtection="1">
      <protection hidden="1"/>
    </xf>
    <xf numFmtId="0" fontId="9" fillId="0" borderId="0" xfId="0" applyFont="1" applyAlignment="1" applyProtection="1">
      <alignment horizontal="center"/>
      <protection hidden="1"/>
    </xf>
    <xf numFmtId="0" fontId="9" fillId="0" borderId="0" xfId="0" applyFont="1" applyProtection="1">
      <protection hidden="1"/>
    </xf>
    <xf numFmtId="0" fontId="10" fillId="0" borderId="0" xfId="0" applyFont="1" applyProtection="1">
      <protection hidden="1"/>
    </xf>
    <xf numFmtId="43" fontId="10" fillId="0" borderId="0" xfId="0" applyNumberFormat="1" applyFont="1" applyProtection="1">
      <protection hidden="1"/>
    </xf>
    <xf numFmtId="0" fontId="10" fillId="0" borderId="0" xfId="0" applyFont="1" applyAlignment="1" applyProtection="1">
      <alignment horizontal="center"/>
      <protection hidden="1"/>
    </xf>
    <xf numFmtId="0" fontId="16" fillId="6" borderId="0" xfId="9" applyFont="1" applyFill="1" applyBorder="1" applyAlignment="1" applyProtection="1">
      <alignment horizontal="center" vertical="center" wrapText="1"/>
      <protection hidden="1"/>
    </xf>
    <xf numFmtId="0" fontId="16" fillId="6" borderId="0" xfId="9" applyFont="1" applyFill="1" applyBorder="1" applyAlignment="1" applyProtection="1">
      <alignment vertical="center"/>
      <protection hidden="1"/>
    </xf>
    <xf numFmtId="0" fontId="11" fillId="3" borderId="8" xfId="5" applyFont="1" applyBorder="1" applyAlignment="1" applyProtection="1">
      <alignment vertical="center"/>
      <protection locked="0" hidden="1"/>
    </xf>
    <xf numFmtId="0" fontId="20" fillId="6" borderId="0" xfId="2" applyFont="1" applyFill="1" applyBorder="1" applyAlignment="1" applyProtection="1">
      <alignment horizontal="left" vertical="center" indent="1"/>
      <protection hidden="1"/>
    </xf>
    <xf numFmtId="0" fontId="0" fillId="6" borderId="0" xfId="0" applyFill="1" applyProtection="1">
      <protection hidden="1"/>
    </xf>
    <xf numFmtId="0" fontId="16" fillId="6" borderId="0" xfId="9" applyFont="1" applyFill="1" applyBorder="1" applyAlignment="1" applyProtection="1">
      <alignment vertical="center" wrapText="1"/>
      <protection hidden="1"/>
    </xf>
    <xf numFmtId="0" fontId="10" fillId="0" borderId="0" xfId="0" applyFont="1" applyAlignment="1" applyProtection="1">
      <alignment vertical="center" wrapText="1"/>
      <protection hidden="1"/>
    </xf>
    <xf numFmtId="169" fontId="29" fillId="13" borderId="0" xfId="0" applyNumberFormat="1" applyFont="1" applyFill="1" applyAlignment="1" applyProtection="1">
      <alignment horizontal="right" indent="1"/>
      <protection hidden="1"/>
    </xf>
    <xf numFmtId="168" fontId="26" fillId="13" borderId="0" xfId="6" applyNumberFormat="1" applyFont="1" applyFill="1" applyBorder="1" applyAlignment="1" applyProtection="1">
      <alignment vertical="center"/>
      <protection hidden="1"/>
    </xf>
    <xf numFmtId="168" fontId="27" fillId="13" borderId="0" xfId="6" applyNumberFormat="1" applyFont="1" applyFill="1" applyBorder="1" applyAlignment="1" applyProtection="1">
      <alignment vertical="center"/>
      <protection hidden="1"/>
    </xf>
    <xf numFmtId="169" fontId="29" fillId="13" borderId="0" xfId="0" applyNumberFormat="1" applyFont="1" applyFill="1" applyAlignment="1" applyProtection="1">
      <alignment horizontal="center"/>
      <protection hidden="1"/>
    </xf>
    <xf numFmtId="168" fontId="26" fillId="13" borderId="15" xfId="6" applyNumberFormat="1" applyFont="1" applyFill="1" applyBorder="1" applyAlignment="1" applyProtection="1">
      <alignment horizontal="center" vertical="center"/>
      <protection hidden="1"/>
    </xf>
    <xf numFmtId="168" fontId="26" fillId="13" borderId="14" xfId="6" applyNumberFormat="1" applyFont="1" applyFill="1" applyBorder="1" applyAlignment="1" applyProtection="1">
      <alignment horizontal="center" vertical="center"/>
      <protection hidden="1"/>
    </xf>
    <xf numFmtId="168" fontId="30" fillId="13" borderId="15" xfId="6" applyNumberFormat="1" applyFont="1" applyFill="1" applyBorder="1" applyAlignment="1" applyProtection="1">
      <alignment horizontal="center" vertical="center"/>
      <protection hidden="1"/>
    </xf>
    <xf numFmtId="168" fontId="30" fillId="13" borderId="14" xfId="6" applyNumberFormat="1" applyFont="1" applyFill="1" applyBorder="1" applyAlignment="1" applyProtection="1">
      <alignment horizontal="center" vertical="center"/>
      <protection hidden="1"/>
    </xf>
    <xf numFmtId="169" fontId="37" fillId="14" borderId="0" xfId="0" applyNumberFormat="1" applyFont="1" applyFill="1" applyAlignment="1" applyProtection="1">
      <alignment horizontal="center" vertical="center"/>
      <protection hidden="1"/>
    </xf>
    <xf numFmtId="0" fontId="33" fillId="0" borderId="0" xfId="0" applyFont="1" applyAlignment="1" applyProtection="1">
      <alignment horizontal="center"/>
      <protection hidden="1"/>
    </xf>
    <xf numFmtId="0" fontId="25" fillId="13" borderId="0" xfId="0" applyFont="1" applyFill="1" applyProtection="1">
      <protection hidden="1"/>
    </xf>
    <xf numFmtId="0" fontId="25" fillId="0" borderId="0" xfId="0" applyFont="1" applyProtection="1">
      <protection hidden="1"/>
    </xf>
    <xf numFmtId="0" fontId="25" fillId="13" borderId="0" xfId="0" applyFont="1" applyFill="1" applyAlignment="1" applyProtection="1">
      <alignment horizontal="center"/>
      <protection hidden="1"/>
    </xf>
    <xf numFmtId="0" fontId="25" fillId="6" borderId="0" xfId="0" applyFont="1" applyFill="1" applyProtection="1">
      <protection hidden="1"/>
    </xf>
    <xf numFmtId="0" fontId="28" fillId="13" borderId="0" xfId="0" applyFont="1" applyFill="1" applyAlignment="1" applyProtection="1">
      <alignment horizontal="left" vertical="center" indent="1"/>
      <protection hidden="1"/>
    </xf>
    <xf numFmtId="0" fontId="29" fillId="13" borderId="0" xfId="0" applyFont="1" applyFill="1" applyAlignment="1" applyProtection="1">
      <alignment horizontal="center"/>
      <protection hidden="1"/>
    </xf>
    <xf numFmtId="0" fontId="0" fillId="14" borderId="0" xfId="0" applyFill="1" applyProtection="1">
      <protection hidden="1"/>
    </xf>
    <xf numFmtId="0" fontId="35" fillId="14" borderId="0" xfId="0" applyFont="1" applyFill="1" applyAlignment="1" applyProtection="1">
      <alignment wrapText="1"/>
      <protection hidden="1"/>
    </xf>
    <xf numFmtId="168" fontId="0" fillId="0" borderId="0" xfId="0" applyNumberFormat="1" applyProtection="1">
      <protection hidden="1"/>
    </xf>
    <xf numFmtId="0" fontId="39" fillId="6" borderId="0" xfId="0" applyFont="1" applyFill="1" applyProtection="1">
      <protection hidden="1"/>
    </xf>
    <xf numFmtId="0" fontId="40" fillId="6" borderId="0" xfId="0" applyFont="1" applyFill="1" applyAlignment="1" applyProtection="1">
      <alignment horizontal="center" vertical="center"/>
      <protection hidden="1"/>
    </xf>
    <xf numFmtId="0" fontId="47" fillId="0" borderId="0" xfId="0" applyFont="1" applyProtection="1">
      <protection hidden="1"/>
    </xf>
    <xf numFmtId="168" fontId="47" fillId="0" borderId="0" xfId="0" applyNumberFormat="1" applyFont="1" applyProtection="1">
      <protection hidden="1"/>
    </xf>
    <xf numFmtId="0" fontId="24" fillId="0" borderId="0" xfId="0" applyFont="1" applyProtection="1">
      <protection hidden="1"/>
    </xf>
    <xf numFmtId="0" fontId="36" fillId="14" borderId="0" xfId="0" applyFont="1" applyFill="1" applyAlignment="1" applyProtection="1">
      <alignment horizontal="left" vertical="center"/>
      <protection hidden="1"/>
    </xf>
    <xf numFmtId="0" fontId="10" fillId="0" borderId="0" xfId="0" applyFont="1" applyAlignment="1" applyProtection="1">
      <alignment horizontal="left"/>
      <protection hidden="1"/>
    </xf>
    <xf numFmtId="169" fontId="11" fillId="3" borderId="36" xfId="5" applyNumberFormat="1" applyFont="1" applyBorder="1" applyAlignment="1" applyProtection="1">
      <alignment horizontal="right" indent="1"/>
      <protection locked="0" hidden="1"/>
    </xf>
    <xf numFmtId="169" fontId="10" fillId="0" borderId="36" xfId="0" applyNumberFormat="1" applyFont="1" applyBorder="1" applyAlignment="1" applyProtection="1">
      <alignment horizontal="right" indent="1"/>
      <protection hidden="1"/>
    </xf>
    <xf numFmtId="169" fontId="10" fillId="0" borderId="36" xfId="0" applyNumberFormat="1" applyFont="1" applyBorder="1" applyAlignment="1" applyProtection="1">
      <alignment horizontal="right"/>
      <protection hidden="1"/>
    </xf>
    <xf numFmtId="168" fontId="15" fillId="4" borderId="36" xfId="6" applyNumberFormat="1" applyFont="1" applyBorder="1" applyAlignment="1" applyProtection="1">
      <alignment horizontal="right" indent="1"/>
      <protection hidden="1"/>
    </xf>
    <xf numFmtId="0" fontId="10" fillId="0" borderId="36" xfId="0" applyFont="1" applyBorder="1" applyAlignment="1" applyProtection="1">
      <alignment horizontal="center"/>
      <protection hidden="1"/>
    </xf>
    <xf numFmtId="0" fontId="13" fillId="0" borderId="29" xfId="0" applyFont="1" applyBorder="1" applyAlignment="1" applyProtection="1">
      <alignment horizontal="left" vertical="center" wrapText="1"/>
      <protection hidden="1"/>
    </xf>
    <xf numFmtId="169" fontId="11" fillId="3" borderId="40" xfId="5" applyNumberFormat="1" applyFont="1" applyBorder="1" applyAlignment="1" applyProtection="1">
      <alignment horizontal="right" indent="1"/>
      <protection locked="0" hidden="1"/>
    </xf>
    <xf numFmtId="0" fontId="13" fillId="0" borderId="29" xfId="0" applyFont="1" applyBorder="1" applyAlignment="1" applyProtection="1">
      <alignment horizontal="center" vertical="center" wrapText="1"/>
      <protection hidden="1"/>
    </xf>
    <xf numFmtId="169" fontId="10" fillId="0" borderId="40" xfId="0" applyNumberFormat="1" applyFont="1" applyBorder="1" applyAlignment="1" applyProtection="1">
      <alignment horizontal="right" indent="1"/>
      <protection hidden="1"/>
    </xf>
    <xf numFmtId="166" fontId="10" fillId="0" borderId="41" xfId="0" applyNumberFormat="1" applyFont="1" applyBorder="1" applyAlignment="1" applyProtection="1">
      <alignment horizontal="left" indent="1"/>
      <protection hidden="1"/>
    </xf>
    <xf numFmtId="169" fontId="10" fillId="0" borderId="42" xfId="0" applyNumberFormat="1" applyFont="1" applyBorder="1" applyAlignment="1" applyProtection="1">
      <alignment horizontal="right" indent="1"/>
      <protection hidden="1"/>
    </xf>
    <xf numFmtId="166" fontId="10" fillId="0" borderId="43" xfId="0" applyNumberFormat="1" applyFont="1" applyBorder="1" applyAlignment="1" applyProtection="1">
      <alignment horizontal="left" indent="1"/>
      <protection hidden="1"/>
    </xf>
    <xf numFmtId="169" fontId="10" fillId="0" borderId="44" xfId="0" applyNumberFormat="1" applyFont="1" applyBorder="1" applyAlignment="1" applyProtection="1">
      <alignment horizontal="right" indent="1"/>
      <protection hidden="1"/>
    </xf>
    <xf numFmtId="166" fontId="10" fillId="0" borderId="43" xfId="0" applyNumberFormat="1" applyFont="1" applyBorder="1" applyAlignment="1" applyProtection="1">
      <alignment horizontal="left" wrapText="1" indent="1"/>
      <protection hidden="1"/>
    </xf>
    <xf numFmtId="169" fontId="19" fillId="6" borderId="44" xfId="5" applyNumberFormat="1" applyFont="1" applyFill="1" applyBorder="1" applyAlignment="1" applyProtection="1">
      <alignment horizontal="right" indent="1"/>
      <protection hidden="1"/>
    </xf>
    <xf numFmtId="169" fontId="11" fillId="3" borderId="44" xfId="5" applyNumberFormat="1" applyFont="1" applyBorder="1" applyAlignment="1" applyProtection="1">
      <alignment horizontal="right" indent="1"/>
      <protection locked="0" hidden="1"/>
    </xf>
    <xf numFmtId="168" fontId="15" fillId="4" borderId="44" xfId="6" applyNumberFormat="1" applyFont="1" applyBorder="1" applyAlignment="1" applyProtection="1">
      <alignment horizontal="right" indent="1"/>
      <protection hidden="1"/>
    </xf>
    <xf numFmtId="1" fontId="13" fillId="0" borderId="36" xfId="0" applyNumberFormat="1" applyFont="1" applyBorder="1" applyAlignment="1" applyProtection="1">
      <alignment horizontal="center" vertical="center"/>
      <protection hidden="1"/>
    </xf>
    <xf numFmtId="1" fontId="14" fillId="0" borderId="36" xfId="0" applyNumberFormat="1" applyFont="1" applyBorder="1" applyAlignment="1" applyProtection="1">
      <alignment horizontal="center"/>
      <protection hidden="1"/>
    </xf>
    <xf numFmtId="164" fontId="14" fillId="0" borderId="36" xfId="1" applyFont="1" applyBorder="1" applyAlignment="1" applyProtection="1">
      <alignment horizontal="center"/>
      <protection hidden="1"/>
    </xf>
    <xf numFmtId="9" fontId="14" fillId="0" borderId="36" xfId="0" applyNumberFormat="1" applyFont="1" applyBorder="1" applyAlignment="1" applyProtection="1">
      <alignment horizontal="center"/>
      <protection hidden="1"/>
    </xf>
    <xf numFmtId="165" fontId="13" fillId="0" borderId="36" xfId="0" applyNumberFormat="1" applyFont="1" applyBorder="1" applyAlignment="1" applyProtection="1">
      <alignment horizontal="left"/>
      <protection hidden="1"/>
    </xf>
    <xf numFmtId="1" fontId="13" fillId="0" borderId="40" xfId="0" applyNumberFormat="1" applyFont="1" applyBorder="1" applyAlignment="1" applyProtection="1">
      <alignment horizontal="center" vertical="center"/>
      <protection hidden="1"/>
    </xf>
    <xf numFmtId="1" fontId="13" fillId="0" borderId="42" xfId="0" applyNumberFormat="1" applyFont="1" applyBorder="1" applyAlignment="1" applyProtection="1">
      <alignment horizontal="center" vertical="center"/>
      <protection hidden="1"/>
    </xf>
    <xf numFmtId="165" fontId="13" fillId="0" borderId="43" xfId="0" applyNumberFormat="1" applyFont="1" applyBorder="1" applyAlignment="1" applyProtection="1">
      <alignment horizontal="left"/>
      <protection hidden="1"/>
    </xf>
    <xf numFmtId="169" fontId="13" fillId="0" borderId="44" xfId="0" applyNumberFormat="1" applyFont="1" applyBorder="1" applyAlignment="1" applyProtection="1">
      <alignment horizontal="right" indent="1"/>
      <protection hidden="1"/>
    </xf>
    <xf numFmtId="169" fontId="13" fillId="0" borderId="48" xfId="0" applyNumberFormat="1" applyFont="1" applyBorder="1" applyAlignment="1" applyProtection="1">
      <alignment horizontal="right" vertical="center" indent="1"/>
      <protection hidden="1"/>
    </xf>
    <xf numFmtId="9" fontId="10" fillId="0" borderId="36" xfId="0" applyNumberFormat="1" applyFont="1" applyBorder="1" applyAlignment="1" applyProtection="1">
      <alignment horizontal="center"/>
      <protection hidden="1"/>
    </xf>
    <xf numFmtId="1" fontId="13" fillId="0" borderId="44" xfId="0" applyNumberFormat="1" applyFont="1" applyBorder="1" applyAlignment="1" applyProtection="1">
      <alignment horizontal="center" vertical="center"/>
      <protection hidden="1"/>
    </xf>
    <xf numFmtId="169" fontId="10" fillId="0" borderId="44" xfId="0" applyNumberFormat="1" applyFont="1" applyBorder="1" applyProtection="1">
      <protection hidden="1"/>
    </xf>
    <xf numFmtId="165" fontId="10" fillId="0" borderId="33" xfId="0" applyNumberFormat="1" applyFont="1" applyBorder="1" applyAlignment="1" applyProtection="1">
      <alignment horizontal="left"/>
      <protection hidden="1"/>
    </xf>
    <xf numFmtId="165" fontId="10" fillId="0" borderId="0" xfId="0" applyNumberFormat="1" applyFont="1" applyAlignment="1" applyProtection="1">
      <alignment horizontal="left"/>
      <protection hidden="1"/>
    </xf>
    <xf numFmtId="169" fontId="10" fillId="0" borderId="34" xfId="0" applyNumberFormat="1" applyFont="1" applyBorder="1" applyAlignment="1" applyProtection="1">
      <alignment horizontal="right" indent="1"/>
      <protection hidden="1"/>
    </xf>
    <xf numFmtId="0" fontId="10" fillId="0" borderId="49" xfId="0" applyFont="1" applyBorder="1" applyAlignment="1" applyProtection="1">
      <alignment horizontal="right" vertical="center"/>
      <protection hidden="1"/>
    </xf>
    <xf numFmtId="0" fontId="10" fillId="0" borderId="50" xfId="0" applyFont="1" applyBorder="1" applyAlignment="1" applyProtection="1">
      <alignment vertical="center"/>
      <protection hidden="1"/>
    </xf>
    <xf numFmtId="0" fontId="39" fillId="6" borderId="36" xfId="0" applyFont="1" applyFill="1" applyBorder="1" applyAlignment="1" applyProtection="1">
      <alignment horizontal="left" wrapText="1" indent="2"/>
      <protection hidden="1"/>
    </xf>
    <xf numFmtId="169" fontId="41" fillId="3" borderId="36" xfId="5" applyNumberFormat="1" applyFont="1" applyBorder="1" applyAlignment="1" applyProtection="1">
      <alignment horizontal="center"/>
      <protection locked="0" hidden="1"/>
    </xf>
    <xf numFmtId="169" fontId="43" fillId="9" borderId="36" xfId="0" applyNumberFormat="1" applyFont="1" applyFill="1" applyBorder="1" applyAlignment="1" applyProtection="1">
      <alignment horizontal="center" vertical="center" wrapText="1"/>
      <protection locked="0" hidden="1"/>
    </xf>
    <xf numFmtId="0" fontId="39" fillId="6" borderId="36" xfId="0" applyFont="1" applyFill="1" applyBorder="1" applyAlignment="1" applyProtection="1">
      <alignment horizontal="left" indent="2"/>
      <protection hidden="1"/>
    </xf>
    <xf numFmtId="169" fontId="41" fillId="6" borderId="36" xfId="5" applyNumberFormat="1" applyFont="1" applyFill="1" applyBorder="1" applyAlignment="1" applyProtection="1">
      <alignment horizontal="center"/>
      <protection hidden="1"/>
    </xf>
    <xf numFmtId="169" fontId="46" fillId="10" borderId="36" xfId="5" applyNumberFormat="1" applyFont="1" applyFill="1" applyBorder="1" applyAlignment="1" applyProtection="1">
      <alignment horizontal="center" vertical="center"/>
      <protection hidden="1"/>
    </xf>
    <xf numFmtId="0" fontId="45" fillId="10" borderId="36" xfId="0" applyFont="1" applyFill="1" applyBorder="1" applyAlignment="1" applyProtection="1">
      <alignment horizontal="center" vertical="center"/>
      <protection hidden="1"/>
    </xf>
    <xf numFmtId="0" fontId="45" fillId="8" borderId="36" xfId="0" applyFont="1" applyFill="1" applyBorder="1" applyAlignment="1" applyProtection="1">
      <alignment horizontal="center" vertical="center"/>
      <protection hidden="1"/>
    </xf>
    <xf numFmtId="0" fontId="40" fillId="14" borderId="36" xfId="0" applyFont="1" applyFill="1" applyBorder="1" applyAlignment="1" applyProtection="1">
      <alignment horizontal="left" vertical="center" indent="2"/>
      <protection hidden="1"/>
    </xf>
    <xf numFmtId="166" fontId="13" fillId="0" borderId="43" xfId="0" applyNumberFormat="1" applyFont="1" applyBorder="1" applyAlignment="1" applyProtection="1">
      <alignment horizontal="left" wrapText="1" indent="1"/>
      <protection hidden="1"/>
    </xf>
    <xf numFmtId="169" fontId="13" fillId="0" borderId="36" xfId="0" applyNumberFormat="1" applyFont="1" applyBorder="1" applyAlignment="1" applyProtection="1">
      <alignment horizontal="right" indent="1"/>
      <protection hidden="1"/>
    </xf>
    <xf numFmtId="169" fontId="55" fillId="18" borderId="36" xfId="5" applyNumberFormat="1" applyFont="1" applyFill="1" applyBorder="1" applyAlignment="1" applyProtection="1">
      <alignment horizontal="center"/>
      <protection hidden="1"/>
    </xf>
    <xf numFmtId="166" fontId="13" fillId="0" borderId="43" xfId="0" applyNumberFormat="1" applyFont="1" applyBorder="1" applyAlignment="1" applyProtection="1">
      <alignment horizontal="left" indent="1"/>
      <protection hidden="1"/>
    </xf>
    <xf numFmtId="0" fontId="10" fillId="0" borderId="33" xfId="0" applyFont="1" applyBorder="1" applyProtection="1">
      <protection hidden="1"/>
    </xf>
    <xf numFmtId="0" fontId="10" fillId="0" borderId="34" xfId="0" applyFont="1" applyBorder="1" applyProtection="1">
      <protection hidden="1"/>
    </xf>
    <xf numFmtId="0" fontId="25" fillId="0" borderId="0" xfId="0" applyFont="1"/>
    <xf numFmtId="0" fontId="25" fillId="19" borderId="0" xfId="0" applyFont="1" applyFill="1"/>
    <xf numFmtId="0" fontId="60" fillId="19" borderId="0" xfId="0" applyFont="1" applyFill="1"/>
    <xf numFmtId="0" fontId="45" fillId="19" borderId="72" xfId="0" applyFont="1" applyFill="1" applyBorder="1" applyAlignment="1">
      <alignment vertical="center" wrapText="1"/>
    </xf>
    <xf numFmtId="0" fontId="60" fillId="0" borderId="0" xfId="0" applyFont="1"/>
    <xf numFmtId="0" fontId="61" fillId="19" borderId="73" xfId="0" applyFont="1" applyFill="1" applyBorder="1" applyAlignment="1">
      <alignment horizontal="left" vertical="center" wrapText="1" indent="1"/>
    </xf>
    <xf numFmtId="0" fontId="62" fillId="19" borderId="73" xfId="0" applyFont="1" applyFill="1" applyBorder="1" applyAlignment="1">
      <alignment horizontal="left" vertical="center" wrapText="1" indent="1"/>
    </xf>
    <xf numFmtId="0" fontId="62" fillId="19" borderId="74" xfId="0" applyFont="1" applyFill="1" applyBorder="1" applyAlignment="1">
      <alignment horizontal="left" wrapText="1" indent="1"/>
    </xf>
    <xf numFmtId="0" fontId="63" fillId="19" borderId="0" xfId="0" applyFont="1" applyFill="1" applyAlignment="1">
      <alignment horizontal="right" vertical="top" wrapText="1"/>
    </xf>
    <xf numFmtId="0" fontId="64" fillId="0" borderId="0" xfId="0" applyFont="1"/>
    <xf numFmtId="0" fontId="25" fillId="0" borderId="0" xfId="0" applyFont="1" applyAlignment="1">
      <alignment wrapText="1"/>
    </xf>
    <xf numFmtId="0" fontId="64" fillId="20" borderId="75" xfId="0" applyFont="1" applyFill="1" applyBorder="1"/>
    <xf numFmtId="0" fontId="64" fillId="20" borderId="75" xfId="0" applyFont="1" applyFill="1" applyBorder="1" applyAlignment="1">
      <alignment horizontal="center" wrapText="1"/>
    </xf>
    <xf numFmtId="0" fontId="64" fillId="21" borderId="75" xfId="0" applyFont="1" applyFill="1" applyBorder="1" applyAlignment="1">
      <alignment horizontal="center" wrapText="1"/>
    </xf>
    <xf numFmtId="0" fontId="25" fillId="0" borderId="75" xfId="0" applyFont="1" applyBorder="1" applyAlignment="1">
      <alignment horizontal="center" vertical="center" wrapText="1"/>
    </xf>
    <xf numFmtId="0" fontId="25" fillId="0" borderId="75" xfId="0" applyFont="1" applyBorder="1" applyAlignment="1">
      <alignment horizontal="center" vertical="center"/>
    </xf>
    <xf numFmtId="0" fontId="25" fillId="0" borderId="75" xfId="0" applyFont="1" applyBorder="1" applyAlignment="1">
      <alignment wrapText="1"/>
    </xf>
    <xf numFmtId="0" fontId="25" fillId="22" borderId="75" xfId="0" applyFont="1" applyFill="1" applyBorder="1" applyAlignment="1">
      <alignment horizontal="left" vertical="center" wrapText="1"/>
    </xf>
    <xf numFmtId="0" fontId="64" fillId="0" borderId="75" xfId="0" applyFont="1" applyBorder="1" applyAlignment="1">
      <alignment horizontal="center" vertical="center" textRotation="90"/>
    </xf>
    <xf numFmtId="0" fontId="25" fillId="0" borderId="77" xfId="0" applyFont="1" applyBorder="1"/>
    <xf numFmtId="0" fontId="25" fillId="0" borderId="79" xfId="0" applyFont="1" applyBorder="1"/>
    <xf numFmtId="0" fontId="25" fillId="0" borderId="80" xfId="0" applyFont="1" applyBorder="1" applyAlignment="1">
      <alignment vertical="top" wrapText="1"/>
    </xf>
    <xf numFmtId="0" fontId="25" fillId="0" borderId="79" xfId="0" applyFont="1" applyBorder="1" applyAlignment="1">
      <alignment horizontal="center" vertical="center" wrapText="1"/>
    </xf>
    <xf numFmtId="0" fontId="25" fillId="0" borderId="80" xfId="0" applyFont="1" applyBorder="1" applyAlignment="1">
      <alignment wrapText="1"/>
    </xf>
    <xf numFmtId="0" fontId="25" fillId="0" borderId="77" xfId="0" applyFont="1" applyBorder="1" applyAlignment="1">
      <alignment horizontal="left" vertical="top" wrapText="1"/>
    </xf>
    <xf numFmtId="0" fontId="25" fillId="0" borderId="77" xfId="0" applyFont="1" applyBorder="1" applyAlignment="1">
      <alignment horizontal="left"/>
    </xf>
    <xf numFmtId="0" fontId="25" fillId="0" borderId="78" xfId="0" applyFont="1" applyBorder="1"/>
    <xf numFmtId="0" fontId="25" fillId="0" borderId="81" xfId="0" applyFont="1" applyBorder="1"/>
    <xf numFmtId="0" fontId="25" fillId="0" borderId="78" xfId="0" applyFont="1" applyBorder="1" applyAlignment="1">
      <alignment vertical="top" wrapText="1"/>
    </xf>
    <xf numFmtId="0" fontId="25" fillId="0" borderId="78" xfId="0" applyFont="1" applyBorder="1" applyAlignment="1">
      <alignment horizontal="left"/>
    </xf>
    <xf numFmtId="0" fontId="25" fillId="0" borderId="76" xfId="0" applyFont="1" applyBorder="1"/>
    <xf numFmtId="0" fontId="25" fillId="0" borderId="76" xfId="0" applyFont="1" applyBorder="1" applyAlignment="1">
      <alignment vertical="center" wrapText="1"/>
    </xf>
    <xf numFmtId="0" fontId="25" fillId="0" borderId="82" xfId="0" applyFont="1" applyBorder="1"/>
    <xf numFmtId="0" fontId="25" fillId="0" borderId="83" xfId="0" applyFont="1" applyBorder="1" applyAlignment="1">
      <alignment wrapText="1"/>
    </xf>
    <xf numFmtId="0" fontId="25" fillId="0" borderId="82" xfId="0" applyFont="1" applyBorder="1" applyAlignment="1">
      <alignment horizontal="center" vertical="center" wrapText="1"/>
    </xf>
    <xf numFmtId="0" fontId="25" fillId="0" borderId="76" xfId="0" applyFont="1" applyBorder="1" applyAlignment="1">
      <alignment horizontal="left" vertical="center" wrapText="1"/>
    </xf>
    <xf numFmtId="0" fontId="25" fillId="0" borderId="78" xfId="0" applyFont="1" applyBorder="1" applyAlignment="1">
      <alignment vertical="center" wrapText="1"/>
    </xf>
    <xf numFmtId="0" fontId="25" fillId="0" borderId="84" xfId="0" quotePrefix="1" applyFont="1" applyBorder="1" applyAlignment="1">
      <alignment vertical="top" wrapText="1"/>
    </xf>
    <xf numFmtId="0" fontId="25" fillId="0" borderId="78" xfId="0" applyFont="1" applyBorder="1" applyAlignment="1">
      <alignment horizontal="left" vertical="center" wrapText="1"/>
    </xf>
    <xf numFmtId="0" fontId="25" fillId="0" borderId="77" xfId="0" applyFont="1" applyBorder="1" applyAlignment="1">
      <alignment vertical="center" wrapText="1"/>
    </xf>
    <xf numFmtId="0" fontId="25" fillId="0" borderId="84" xfId="0" applyFont="1" applyBorder="1" applyAlignment="1">
      <alignment wrapText="1"/>
    </xf>
    <xf numFmtId="0" fontId="62" fillId="0" borderId="84" xfId="0" applyFont="1" applyBorder="1" applyAlignment="1">
      <alignment wrapText="1"/>
    </xf>
    <xf numFmtId="0" fontId="25" fillId="0" borderId="77" xfId="0" applyFont="1" applyBorder="1" applyAlignment="1">
      <alignment horizontal="left" wrapText="1"/>
    </xf>
    <xf numFmtId="0" fontId="25" fillId="0" borderId="78" xfId="0" applyFont="1" applyBorder="1" applyAlignment="1">
      <alignment horizontal="left" wrapText="1"/>
    </xf>
    <xf numFmtId="0" fontId="25" fillId="0" borderId="80" xfId="0" applyFont="1" applyBorder="1" applyAlignment="1">
      <alignment vertical="center" wrapText="1"/>
    </xf>
    <xf numFmtId="0" fontId="25" fillId="0" borderId="81" xfId="0" applyFont="1" applyBorder="1" applyAlignment="1">
      <alignment horizontal="center" vertical="center" wrapText="1"/>
    </xf>
    <xf numFmtId="0" fontId="64" fillId="0" borderId="80" xfId="0" applyFont="1" applyBorder="1" applyAlignment="1">
      <alignment vertical="top" wrapText="1"/>
    </xf>
    <xf numFmtId="0" fontId="64" fillId="0" borderId="78" xfId="0" applyFont="1" applyBorder="1" applyAlignment="1">
      <alignment vertical="top" wrapText="1"/>
    </xf>
    <xf numFmtId="0" fontId="25" fillId="0" borderId="83" xfId="0" applyFont="1" applyBorder="1"/>
    <xf numFmtId="0" fontId="25" fillId="0" borderId="80" xfId="0" applyFont="1" applyBorder="1"/>
    <xf numFmtId="0" fontId="25" fillId="0" borderId="84" xfId="0" applyFont="1" applyBorder="1"/>
    <xf numFmtId="0" fontId="25" fillId="0" borderId="83" xfId="0" applyFont="1" applyBorder="1" applyAlignment="1">
      <alignment vertical="center" wrapText="1"/>
    </xf>
    <xf numFmtId="0" fontId="66" fillId="0" borderId="0" xfId="0" applyFont="1" applyAlignment="1">
      <alignment vertical="center"/>
    </xf>
    <xf numFmtId="0" fontId="25" fillId="0" borderId="0" xfId="0" applyFont="1" applyAlignment="1">
      <alignment horizontal="left" vertical="center" indent="1"/>
    </xf>
    <xf numFmtId="0" fontId="64" fillId="0" borderId="0" xfId="0" applyFont="1" applyAlignment="1">
      <alignment horizontal="left" vertical="center" indent="1"/>
    </xf>
    <xf numFmtId="0" fontId="56" fillId="17" borderId="67" xfId="7" applyFont="1" applyFill="1" applyBorder="1" applyAlignment="1" applyProtection="1">
      <alignment vertical="center" wrapText="1"/>
      <protection hidden="1"/>
    </xf>
    <xf numFmtId="0" fontId="56" fillId="17" borderId="68" xfId="7" applyFont="1" applyFill="1" applyBorder="1" applyAlignment="1" applyProtection="1">
      <alignment vertical="center" wrapText="1"/>
      <protection hidden="1"/>
    </xf>
    <xf numFmtId="0" fontId="56" fillId="17" borderId="69" xfId="7" applyFont="1" applyFill="1" applyBorder="1" applyAlignment="1" applyProtection="1">
      <alignment vertical="center" wrapText="1"/>
      <protection hidden="1"/>
    </xf>
    <xf numFmtId="0" fontId="68" fillId="0" borderId="0" xfId="9" applyFont="1" applyAlignment="1" applyProtection="1">
      <alignment horizontal="right"/>
      <protection hidden="1"/>
    </xf>
    <xf numFmtId="0" fontId="13" fillId="0" borderId="54" xfId="0" applyFont="1" applyBorder="1" applyAlignment="1" applyProtection="1">
      <alignment horizontal="right" vertical="center" indent="8"/>
      <protection hidden="1"/>
    </xf>
    <xf numFmtId="0" fontId="13" fillId="0" borderId="55" xfId="0" applyFont="1" applyBorder="1" applyAlignment="1" applyProtection="1">
      <alignment horizontal="right" vertical="center" indent="8"/>
      <protection hidden="1"/>
    </xf>
    <xf numFmtId="0" fontId="23" fillId="12" borderId="53" xfId="4" applyFont="1" applyFill="1" applyBorder="1" applyAlignment="1" applyProtection="1">
      <alignment horizontal="center" vertical="center"/>
      <protection hidden="1"/>
    </xf>
    <xf numFmtId="0" fontId="23" fillId="12" borderId="39" xfId="4" applyFont="1" applyFill="1" applyBorder="1" applyAlignment="1" applyProtection="1">
      <alignment horizontal="center" vertical="center"/>
      <protection hidden="1"/>
    </xf>
    <xf numFmtId="167" fontId="15" fillId="4" borderId="51" xfId="6" applyNumberFormat="1" applyFont="1" applyBorder="1" applyAlignment="1" applyProtection="1">
      <alignment horizontal="center" vertical="center"/>
      <protection hidden="1"/>
    </xf>
    <xf numFmtId="167" fontId="15" fillId="4" borderId="44" xfId="6" applyNumberFormat="1" applyFont="1" applyBorder="1" applyAlignment="1" applyProtection="1">
      <alignment horizontal="center" vertical="center"/>
      <protection hidden="1"/>
    </xf>
    <xf numFmtId="0" fontId="56" fillId="8" borderId="24" xfId="8" applyFont="1" applyFill="1" applyBorder="1" applyAlignment="1" applyProtection="1">
      <alignment horizontal="center" vertical="center" wrapText="1"/>
      <protection hidden="1"/>
    </xf>
    <xf numFmtId="0" fontId="56" fillId="8" borderId="25" xfId="8" applyFont="1" applyFill="1" applyBorder="1" applyAlignment="1" applyProtection="1">
      <alignment horizontal="center" vertical="center" wrapText="1"/>
      <protection hidden="1"/>
    </xf>
    <xf numFmtId="0" fontId="56" fillId="8" borderId="26" xfId="8" applyFont="1" applyFill="1" applyBorder="1" applyAlignment="1" applyProtection="1">
      <alignment horizontal="center" vertical="center" wrapText="1"/>
      <protection hidden="1"/>
    </xf>
    <xf numFmtId="0" fontId="56" fillId="8" borderId="27" xfId="8" applyFont="1" applyFill="1" applyBorder="1" applyAlignment="1" applyProtection="1">
      <alignment horizontal="center" vertical="center" wrapText="1"/>
      <protection hidden="1"/>
    </xf>
    <xf numFmtId="0" fontId="56" fillId="8" borderId="0" xfId="8" applyFont="1" applyFill="1" applyBorder="1" applyAlignment="1" applyProtection="1">
      <alignment horizontal="center" vertical="center" wrapText="1"/>
      <protection hidden="1"/>
    </xf>
    <xf numFmtId="0" fontId="56" fillId="8" borderId="28" xfId="8" applyFont="1" applyFill="1" applyBorder="1" applyAlignment="1" applyProtection="1">
      <alignment horizontal="center" vertical="center" wrapText="1"/>
      <protection hidden="1"/>
    </xf>
    <xf numFmtId="0" fontId="10" fillId="0" borderId="49" xfId="0" applyFont="1" applyBorder="1" applyAlignment="1" applyProtection="1">
      <alignment horizontal="right" vertical="center" indent="8"/>
      <protection hidden="1"/>
    </xf>
    <xf numFmtId="0" fontId="10" fillId="0" borderId="50" xfId="0" applyFont="1" applyBorder="1" applyAlignment="1" applyProtection="1">
      <alignment horizontal="right" vertical="center" indent="8"/>
      <protection hidden="1"/>
    </xf>
    <xf numFmtId="166" fontId="13" fillId="0" borderId="43" xfId="0" applyNumberFormat="1" applyFont="1" applyBorder="1" applyAlignment="1" applyProtection="1">
      <alignment horizontal="right" indent="6"/>
      <protection hidden="1"/>
    </xf>
    <xf numFmtId="166" fontId="13" fillId="0" borderId="36" xfId="0" applyNumberFormat="1" applyFont="1" applyBorder="1" applyAlignment="1" applyProtection="1">
      <alignment horizontal="right" indent="6"/>
      <protection hidden="1"/>
    </xf>
    <xf numFmtId="0" fontId="67" fillId="0" borderId="0" xfId="0" applyFont="1" applyAlignment="1" applyProtection="1">
      <alignment horizontal="right"/>
      <protection hidden="1"/>
    </xf>
    <xf numFmtId="0" fontId="56" fillId="17" borderId="70" xfId="7" applyFont="1" applyFill="1" applyBorder="1" applyAlignment="1" applyProtection="1">
      <alignment horizontal="left" vertical="center" wrapText="1" indent="2"/>
      <protection hidden="1"/>
    </xf>
    <xf numFmtId="0" fontId="56" fillId="17" borderId="0" xfId="7" applyFont="1" applyFill="1" applyBorder="1" applyAlignment="1" applyProtection="1">
      <alignment horizontal="left" vertical="center" wrapText="1" indent="2"/>
      <protection hidden="1"/>
    </xf>
    <xf numFmtId="0" fontId="56" fillId="17" borderId="71" xfId="7" applyFont="1" applyFill="1" applyBorder="1" applyAlignment="1" applyProtection="1">
      <alignment horizontal="left" vertical="center" wrapText="1" indent="2"/>
      <protection hidden="1"/>
    </xf>
    <xf numFmtId="0" fontId="21" fillId="6" borderId="30" xfId="9" applyFont="1" applyFill="1" applyBorder="1" applyAlignment="1" applyProtection="1">
      <alignment horizontal="center"/>
      <protection hidden="1"/>
    </xf>
    <xf numFmtId="0" fontId="21" fillId="6" borderId="31" xfId="9" applyFont="1" applyFill="1" applyBorder="1" applyAlignment="1" applyProtection="1">
      <alignment horizontal="center"/>
      <protection hidden="1"/>
    </xf>
    <xf numFmtId="0" fontId="21" fillId="6" borderId="32" xfId="9" applyFont="1" applyFill="1" applyBorder="1" applyAlignment="1" applyProtection="1">
      <alignment horizontal="center"/>
      <protection hidden="1"/>
    </xf>
    <xf numFmtId="0" fontId="21" fillId="6" borderId="33" xfId="9" applyFont="1" applyFill="1" applyBorder="1" applyAlignment="1" applyProtection="1">
      <alignment horizontal="center"/>
      <protection hidden="1"/>
    </xf>
    <xf numFmtId="0" fontId="21" fillId="6" borderId="0" xfId="9" applyFont="1" applyFill="1" applyBorder="1" applyAlignment="1" applyProtection="1">
      <alignment horizontal="center"/>
      <protection hidden="1"/>
    </xf>
    <xf numFmtId="0" fontId="21" fillId="6" borderId="34" xfId="9" applyFont="1" applyFill="1" applyBorder="1" applyAlignment="1" applyProtection="1">
      <alignment horizontal="center"/>
      <protection hidden="1"/>
    </xf>
    <xf numFmtId="0" fontId="21" fillId="6" borderId="37" xfId="9" applyFont="1" applyFill="1" applyBorder="1" applyAlignment="1" applyProtection="1">
      <alignment horizontal="center"/>
      <protection hidden="1"/>
    </xf>
    <xf numFmtId="0" fontId="21" fillId="6" borderId="38" xfId="9" applyFont="1" applyFill="1" applyBorder="1" applyAlignment="1" applyProtection="1">
      <alignment horizontal="center"/>
      <protection hidden="1"/>
    </xf>
    <xf numFmtId="0" fontId="21" fillId="6" borderId="62" xfId="9" applyFont="1" applyFill="1" applyBorder="1" applyAlignment="1" applyProtection="1">
      <alignment horizontal="center"/>
      <protection hidden="1"/>
    </xf>
    <xf numFmtId="165" fontId="13" fillId="0" borderId="43" xfId="0" applyNumberFormat="1" applyFont="1" applyBorder="1" applyAlignment="1" applyProtection="1">
      <alignment horizontal="left"/>
      <protection hidden="1"/>
    </xf>
    <xf numFmtId="165" fontId="13" fillId="0" borderId="36" xfId="0" applyNumberFormat="1" applyFont="1" applyBorder="1" applyAlignment="1" applyProtection="1">
      <alignment horizontal="left"/>
      <protection hidden="1"/>
    </xf>
    <xf numFmtId="0" fontId="20" fillId="11" borderId="11" xfId="2" applyFont="1" applyFill="1" applyBorder="1" applyAlignment="1" applyProtection="1">
      <alignment horizontal="left" vertical="center" indent="1"/>
      <protection hidden="1"/>
    </xf>
    <xf numFmtId="0" fontId="20" fillId="11" borderId="12" xfId="2" applyFont="1" applyFill="1" applyBorder="1" applyAlignment="1" applyProtection="1">
      <alignment horizontal="left" vertical="center" indent="1"/>
      <protection hidden="1"/>
    </xf>
    <xf numFmtId="0" fontId="20" fillId="11" borderId="13" xfId="2" applyFont="1" applyFill="1" applyBorder="1" applyAlignment="1" applyProtection="1">
      <alignment horizontal="left" vertical="center" indent="1"/>
      <protection hidden="1"/>
    </xf>
    <xf numFmtId="0" fontId="57" fillId="7" borderId="33" xfId="0" applyFont="1" applyFill="1" applyBorder="1" applyAlignment="1" applyProtection="1">
      <alignment horizontal="center" vertical="top" wrapText="1"/>
      <protection hidden="1"/>
    </xf>
    <xf numFmtId="0" fontId="57" fillId="7" borderId="0" xfId="0" applyFont="1" applyFill="1" applyAlignment="1" applyProtection="1">
      <alignment horizontal="center" vertical="top" wrapText="1"/>
      <protection hidden="1"/>
    </xf>
    <xf numFmtId="0" fontId="57" fillId="7" borderId="34" xfId="0" applyFont="1" applyFill="1" applyBorder="1" applyAlignment="1" applyProtection="1">
      <alignment horizontal="center" vertical="top" wrapText="1"/>
      <protection hidden="1"/>
    </xf>
    <xf numFmtId="165" fontId="13" fillId="0" borderId="43" xfId="0" applyNumberFormat="1" applyFont="1" applyBorder="1" applyAlignment="1" applyProtection="1">
      <alignment horizontal="left" wrapText="1"/>
      <protection hidden="1"/>
    </xf>
    <xf numFmtId="165" fontId="13" fillId="0" borderId="36" xfId="0" applyNumberFormat="1" applyFont="1" applyBorder="1" applyAlignment="1" applyProtection="1">
      <alignment horizontal="left" wrapText="1"/>
      <protection hidden="1"/>
    </xf>
    <xf numFmtId="0" fontId="12" fillId="7" borderId="35" xfId="3" applyFont="1" applyFill="1" applyBorder="1" applyAlignment="1" applyProtection="1">
      <alignment horizontal="center" vertical="center" wrapText="1"/>
      <protection hidden="1"/>
    </xf>
    <xf numFmtId="0" fontId="12" fillId="7" borderId="45" xfId="3" applyFont="1" applyFill="1" applyBorder="1" applyAlignment="1" applyProtection="1">
      <alignment horizontal="center" vertical="center" wrapText="1"/>
      <protection hidden="1"/>
    </xf>
    <xf numFmtId="0" fontId="12" fillId="7" borderId="46" xfId="3" applyFont="1" applyFill="1" applyBorder="1" applyAlignment="1" applyProtection="1">
      <alignment horizontal="center" vertical="center" wrapText="1"/>
      <protection hidden="1"/>
    </xf>
    <xf numFmtId="165" fontId="13" fillId="0" borderId="43" xfId="0" applyNumberFormat="1" applyFont="1" applyBorder="1" applyAlignment="1" applyProtection="1">
      <alignment horizontal="left" vertical="center"/>
      <protection hidden="1"/>
    </xf>
    <xf numFmtId="165" fontId="13" fillId="0" borderId="36" xfId="0" applyNumberFormat="1" applyFont="1" applyBorder="1" applyAlignment="1" applyProtection="1">
      <alignment horizontal="left" vertical="center"/>
      <protection hidden="1"/>
    </xf>
    <xf numFmtId="0" fontId="10" fillId="0" borderId="43" xfId="0" applyFont="1" applyBorder="1" applyAlignment="1" applyProtection="1">
      <alignment horizontal="left" indent="1"/>
      <protection hidden="1"/>
    </xf>
    <xf numFmtId="0" fontId="10" fillId="0" borderId="36" xfId="0" applyFont="1" applyBorder="1" applyAlignment="1" applyProtection="1">
      <alignment horizontal="left" indent="1"/>
      <protection hidden="1"/>
    </xf>
    <xf numFmtId="0" fontId="57" fillId="7" borderId="41" xfId="3" applyFont="1" applyFill="1" applyBorder="1" applyAlignment="1" applyProtection="1">
      <alignment horizontal="center" vertical="center" wrapText="1"/>
      <protection hidden="1"/>
    </xf>
    <xf numFmtId="0" fontId="57" fillId="7" borderId="40" xfId="3" applyFont="1" applyFill="1" applyBorder="1" applyAlignment="1" applyProtection="1">
      <alignment horizontal="center" vertical="center" wrapText="1"/>
      <protection hidden="1"/>
    </xf>
    <xf numFmtId="0" fontId="57" fillId="7" borderId="42" xfId="3" applyFont="1" applyFill="1" applyBorder="1" applyAlignment="1" applyProtection="1">
      <alignment horizontal="center" vertical="center" wrapText="1"/>
      <protection hidden="1"/>
    </xf>
    <xf numFmtId="0" fontId="11" fillId="3" borderId="9" xfId="5" applyFont="1" applyBorder="1" applyAlignment="1" applyProtection="1">
      <alignment horizontal="center" vertical="center"/>
      <protection locked="0" hidden="1"/>
    </xf>
    <xf numFmtId="165" fontId="13" fillId="0" borderId="41" xfId="0" applyNumberFormat="1" applyFont="1" applyBorder="1" applyAlignment="1" applyProtection="1">
      <alignment horizontal="left" vertical="center"/>
      <protection hidden="1"/>
    </xf>
    <xf numFmtId="165" fontId="13" fillId="0" borderId="40" xfId="0" applyNumberFormat="1" applyFont="1" applyBorder="1" applyAlignment="1" applyProtection="1">
      <alignment horizontal="left" vertical="center"/>
      <protection hidden="1"/>
    </xf>
    <xf numFmtId="0" fontId="11" fillId="3" borderId="5" xfId="5" applyFont="1" applyBorder="1" applyAlignment="1" applyProtection="1">
      <alignment horizontal="center" vertical="center"/>
      <protection locked="0" hidden="1"/>
    </xf>
    <xf numFmtId="0" fontId="10" fillId="0" borderId="0" xfId="0" applyFont="1" applyAlignment="1" applyProtection="1">
      <alignment horizontal="center"/>
      <protection hidden="1"/>
    </xf>
    <xf numFmtId="165" fontId="10" fillId="0" borderId="43" xfId="0" applyNumberFormat="1" applyFont="1" applyBorder="1" applyAlignment="1" applyProtection="1">
      <alignment horizontal="center"/>
      <protection hidden="1"/>
    </xf>
    <xf numFmtId="165" fontId="10" fillId="0" borderId="36" xfId="0" applyNumberFormat="1" applyFont="1" applyBorder="1" applyAlignment="1" applyProtection="1">
      <alignment horizontal="center"/>
      <protection hidden="1"/>
    </xf>
    <xf numFmtId="165" fontId="13" fillId="0" borderId="49" xfId="0" applyNumberFormat="1" applyFont="1" applyBorder="1" applyAlignment="1" applyProtection="1">
      <alignment horizontal="center" wrapText="1"/>
      <protection hidden="1"/>
    </xf>
    <xf numFmtId="165" fontId="13" fillId="0" borderId="50" xfId="0" applyNumberFormat="1" applyFont="1" applyBorder="1" applyAlignment="1" applyProtection="1">
      <alignment horizontal="center" wrapText="1"/>
      <protection hidden="1"/>
    </xf>
    <xf numFmtId="165" fontId="13" fillId="0" borderId="51" xfId="0" applyNumberFormat="1" applyFont="1" applyBorder="1" applyAlignment="1" applyProtection="1">
      <alignment horizontal="center" wrapText="1"/>
      <protection hidden="1"/>
    </xf>
    <xf numFmtId="165" fontId="10" fillId="0" borderId="49" xfId="0" applyNumberFormat="1" applyFont="1" applyBorder="1" applyAlignment="1" applyProtection="1">
      <alignment horizontal="center"/>
      <protection hidden="1"/>
    </xf>
    <xf numFmtId="165" fontId="10" fillId="0" borderId="50" xfId="0" applyNumberFormat="1" applyFont="1" applyBorder="1" applyAlignment="1" applyProtection="1">
      <alignment horizontal="center"/>
      <protection hidden="1"/>
    </xf>
    <xf numFmtId="165" fontId="10" fillId="0" borderId="51" xfId="0" applyNumberFormat="1" applyFont="1" applyBorder="1" applyAlignment="1" applyProtection="1">
      <alignment horizontal="center"/>
      <protection hidden="1"/>
    </xf>
    <xf numFmtId="0" fontId="11" fillId="3" borderId="6" xfId="5" applyFont="1" applyBorder="1" applyAlignment="1" applyProtection="1">
      <alignment horizontal="right" vertical="center"/>
      <protection locked="0" hidden="1"/>
    </xf>
    <xf numFmtId="0" fontId="11" fillId="3" borderId="7" xfId="5" applyFont="1" applyBorder="1" applyAlignment="1" applyProtection="1">
      <alignment horizontal="right" vertical="center"/>
      <protection locked="0" hidden="1"/>
    </xf>
    <xf numFmtId="165" fontId="12" fillId="7" borderId="37" xfId="0" applyNumberFormat="1" applyFont="1" applyFill="1" applyBorder="1" applyAlignment="1" applyProtection="1">
      <alignment horizontal="left"/>
      <protection hidden="1"/>
    </xf>
    <xf numFmtId="165" fontId="12" fillId="7" borderId="38" xfId="0" applyNumberFormat="1" applyFont="1" applyFill="1" applyBorder="1" applyAlignment="1" applyProtection="1">
      <alignment horizontal="left"/>
      <protection hidden="1"/>
    </xf>
    <xf numFmtId="165" fontId="12" fillId="7" borderId="47" xfId="0" applyNumberFormat="1" applyFont="1" applyFill="1" applyBorder="1" applyAlignment="1" applyProtection="1">
      <alignment horizontal="left"/>
      <protection hidden="1"/>
    </xf>
    <xf numFmtId="165" fontId="10" fillId="0" borderId="43" xfId="0" applyNumberFormat="1" applyFont="1" applyBorder="1" applyAlignment="1" applyProtection="1">
      <alignment horizontal="left"/>
      <protection hidden="1"/>
    </xf>
    <xf numFmtId="165" fontId="10" fillId="0" borderId="36" xfId="0" applyNumberFormat="1" applyFont="1" applyBorder="1" applyAlignment="1" applyProtection="1">
      <alignment horizontal="left"/>
      <protection hidden="1"/>
    </xf>
    <xf numFmtId="169" fontId="10" fillId="0" borderId="52" xfId="0" applyNumberFormat="1" applyFont="1" applyBorder="1" applyAlignment="1" applyProtection="1">
      <alignment horizontal="left" indent="7"/>
      <protection hidden="1"/>
    </xf>
    <xf numFmtId="169" fontId="10" fillId="0" borderId="40" xfId="0" applyNumberFormat="1" applyFont="1" applyBorder="1" applyAlignment="1" applyProtection="1">
      <alignment horizontal="left" indent="7"/>
      <protection hidden="1"/>
    </xf>
    <xf numFmtId="0" fontId="58" fillId="6" borderId="10" xfId="2" applyFont="1" applyFill="1" applyBorder="1" applyAlignment="1" applyProtection="1">
      <alignment horizontal="left" vertical="center" indent="1"/>
      <protection hidden="1"/>
    </xf>
    <xf numFmtId="169" fontId="10" fillId="0" borderId="44" xfId="0" applyNumberFormat="1" applyFont="1" applyBorder="1" applyAlignment="1" applyProtection="1">
      <alignment horizontal="right" indent="1"/>
      <protection hidden="1"/>
    </xf>
    <xf numFmtId="0" fontId="22" fillId="9" borderId="56" xfId="0" applyFont="1" applyFill="1" applyBorder="1" applyAlignment="1" applyProtection="1">
      <alignment horizontal="center" vertical="center" wrapText="1"/>
      <protection hidden="1"/>
    </xf>
    <xf numFmtId="0" fontId="22" fillId="9" borderId="57" xfId="0" applyFont="1" applyFill="1" applyBorder="1" applyAlignment="1" applyProtection="1">
      <alignment horizontal="center" vertical="center" wrapText="1"/>
      <protection hidden="1"/>
    </xf>
    <xf numFmtId="0" fontId="22" fillId="9" borderId="58" xfId="0" applyFont="1" applyFill="1" applyBorder="1" applyAlignment="1" applyProtection="1">
      <alignment horizontal="center" vertical="center" wrapText="1"/>
      <protection hidden="1"/>
    </xf>
    <xf numFmtId="0" fontId="22" fillId="9" borderId="59" xfId="0" applyFont="1" applyFill="1" applyBorder="1" applyAlignment="1" applyProtection="1">
      <alignment horizontal="center" vertical="center" wrapText="1"/>
      <protection hidden="1"/>
    </xf>
    <xf numFmtId="0" fontId="22" fillId="9" borderId="60" xfId="0" applyFont="1" applyFill="1" applyBorder="1" applyAlignment="1" applyProtection="1">
      <alignment horizontal="center" vertical="center" wrapText="1"/>
      <protection hidden="1"/>
    </xf>
    <xf numFmtId="0" fontId="22" fillId="9" borderId="61" xfId="0" applyFont="1" applyFill="1" applyBorder="1" applyAlignment="1" applyProtection="1">
      <alignment horizontal="center" vertical="center" wrapText="1"/>
      <protection hidden="1"/>
    </xf>
    <xf numFmtId="164" fontId="10" fillId="0" borderId="43" xfId="1" applyFont="1" applyBorder="1" applyAlignment="1" applyProtection="1">
      <alignment horizontal="left"/>
      <protection hidden="1"/>
    </xf>
    <xf numFmtId="164" fontId="10" fillId="0" borderId="36" xfId="1" applyFont="1" applyBorder="1" applyAlignment="1" applyProtection="1">
      <alignment horizontal="left"/>
      <protection hidden="1"/>
    </xf>
    <xf numFmtId="0" fontId="12" fillId="7" borderId="30" xfId="0" applyFont="1" applyFill="1" applyBorder="1" applyAlignment="1" applyProtection="1">
      <alignment horizontal="center" vertical="center" wrapText="1"/>
      <protection hidden="1"/>
    </xf>
    <xf numFmtId="0" fontId="12" fillId="7" borderId="31" xfId="0" applyFont="1" applyFill="1" applyBorder="1" applyAlignment="1" applyProtection="1">
      <alignment horizontal="center" vertical="center" wrapText="1"/>
      <protection hidden="1"/>
    </xf>
    <xf numFmtId="0" fontId="12" fillId="7" borderId="32" xfId="0" applyFont="1" applyFill="1" applyBorder="1" applyAlignment="1" applyProtection="1">
      <alignment horizontal="center" vertical="center" wrapText="1"/>
      <protection hidden="1"/>
    </xf>
    <xf numFmtId="0" fontId="17" fillId="17" borderId="64" xfId="7" applyFont="1" applyFill="1" applyBorder="1" applyAlignment="1" applyProtection="1">
      <alignment horizontal="center" vertical="center"/>
      <protection hidden="1"/>
    </xf>
    <xf numFmtId="0" fontId="17" fillId="17" borderId="65" xfId="7" applyFont="1" applyFill="1" applyBorder="1" applyAlignment="1" applyProtection="1">
      <alignment horizontal="center" vertical="center"/>
      <protection hidden="1"/>
    </xf>
    <xf numFmtId="0" fontId="17" fillId="17" borderId="66" xfId="7" applyFont="1" applyFill="1" applyBorder="1" applyAlignment="1" applyProtection="1">
      <alignment horizontal="center" vertical="center"/>
      <protection hidden="1"/>
    </xf>
    <xf numFmtId="0" fontId="50" fillId="15" borderId="16" xfId="0" applyFont="1" applyFill="1" applyBorder="1" applyAlignment="1" applyProtection="1">
      <alignment horizontal="center" vertical="center"/>
      <protection hidden="1"/>
    </xf>
    <xf numFmtId="0" fontId="50" fillId="15" borderId="17" xfId="0" applyFont="1" applyFill="1" applyBorder="1" applyAlignment="1" applyProtection="1">
      <alignment horizontal="center" vertical="center"/>
      <protection hidden="1"/>
    </xf>
    <xf numFmtId="0" fontId="50" fillId="15" borderId="18" xfId="0" applyFont="1" applyFill="1" applyBorder="1" applyAlignment="1" applyProtection="1">
      <alignment horizontal="center" vertical="center"/>
      <protection hidden="1"/>
    </xf>
    <xf numFmtId="0" fontId="50" fillId="15" borderId="19" xfId="0" applyFont="1" applyFill="1" applyBorder="1" applyAlignment="1" applyProtection="1">
      <alignment horizontal="center" vertical="center"/>
      <protection hidden="1"/>
    </xf>
    <xf numFmtId="0" fontId="50" fillId="15" borderId="0" xfId="0" applyFont="1" applyFill="1" applyAlignment="1" applyProtection="1">
      <alignment horizontal="center" vertical="center"/>
      <protection hidden="1"/>
    </xf>
    <xf numFmtId="0" fontId="50" fillId="15" borderId="20" xfId="0" applyFont="1" applyFill="1" applyBorder="1" applyAlignment="1" applyProtection="1">
      <alignment horizontal="center" vertical="center"/>
      <protection hidden="1"/>
    </xf>
    <xf numFmtId="0" fontId="50" fillId="15" borderId="21" xfId="0" applyFont="1" applyFill="1" applyBorder="1" applyAlignment="1" applyProtection="1">
      <alignment horizontal="center" vertical="center"/>
      <protection hidden="1"/>
    </xf>
    <xf numFmtId="0" fontId="50" fillId="15" borderId="22" xfId="0" applyFont="1" applyFill="1" applyBorder="1" applyAlignment="1" applyProtection="1">
      <alignment horizontal="center" vertical="center"/>
      <protection hidden="1"/>
    </xf>
    <xf numFmtId="0" fontId="50" fillId="15" borderId="23" xfId="0" applyFont="1" applyFill="1" applyBorder="1" applyAlignment="1" applyProtection="1">
      <alignment horizontal="center" vertical="center"/>
      <protection hidden="1"/>
    </xf>
    <xf numFmtId="0" fontId="34" fillId="0" borderId="0" xfId="0" applyFont="1" applyAlignment="1" applyProtection="1">
      <alignment horizontal="center" vertical="top"/>
      <protection hidden="1"/>
    </xf>
    <xf numFmtId="0" fontId="48" fillId="14" borderId="0" xfId="0" applyFont="1" applyFill="1" applyAlignment="1" applyProtection="1">
      <alignment horizontal="left" wrapText="1" indent="2"/>
      <protection hidden="1"/>
    </xf>
    <xf numFmtId="0" fontId="31" fillId="13" borderId="0" xfId="0" applyFont="1" applyFill="1" applyAlignment="1" applyProtection="1">
      <alignment horizontal="center" vertical="top"/>
      <protection hidden="1"/>
    </xf>
    <xf numFmtId="0" fontId="31" fillId="13" borderId="0" xfId="0" applyFont="1" applyFill="1" applyAlignment="1" applyProtection="1">
      <alignment horizontal="center"/>
      <protection hidden="1"/>
    </xf>
    <xf numFmtId="0" fontId="32" fillId="13" borderId="0" xfId="0" applyFont="1" applyFill="1" applyAlignment="1" applyProtection="1">
      <alignment horizontal="center"/>
      <protection hidden="1"/>
    </xf>
    <xf numFmtId="0" fontId="49" fillId="14" borderId="0" xfId="0" applyFont="1" applyFill="1" applyAlignment="1" applyProtection="1">
      <alignment horizontal="center" vertical="center" wrapText="1"/>
      <protection hidden="1"/>
    </xf>
    <xf numFmtId="0" fontId="38" fillId="6" borderId="0" xfId="0" applyFont="1" applyFill="1" applyAlignment="1" applyProtection="1">
      <alignment horizontal="center" vertical="center"/>
      <protection hidden="1"/>
    </xf>
    <xf numFmtId="0" fontId="54" fillId="6" borderId="63" xfId="0" applyFont="1" applyFill="1" applyBorder="1" applyAlignment="1" applyProtection="1">
      <alignment horizontal="center" vertical="center" wrapText="1"/>
      <protection hidden="1"/>
    </xf>
    <xf numFmtId="0" fontId="52" fillId="16" borderId="0" xfId="0" applyFont="1" applyFill="1" applyAlignment="1" applyProtection="1">
      <alignment horizontal="left" vertical="center" wrapText="1" indent="3"/>
      <protection hidden="1"/>
    </xf>
    <xf numFmtId="0" fontId="59" fillId="0" borderId="76" xfId="0" applyFont="1" applyBorder="1" applyAlignment="1">
      <alignment horizontal="left" vertical="top" wrapText="1"/>
    </xf>
    <xf numFmtId="0" fontId="59" fillId="0" borderId="77" xfId="0" applyFont="1" applyBorder="1" applyAlignment="1">
      <alignment horizontal="left" vertical="top" wrapText="1"/>
    </xf>
    <xf numFmtId="0" fontId="59" fillId="0" borderId="78" xfId="0" applyFont="1" applyBorder="1" applyAlignment="1">
      <alignment horizontal="left" vertical="top" wrapText="1"/>
    </xf>
    <xf numFmtId="0" fontId="25" fillId="0" borderId="76" xfId="0" applyFont="1" applyBorder="1" applyAlignment="1">
      <alignment horizontal="center" vertical="top" wrapText="1"/>
    </xf>
    <xf numFmtId="0" fontId="25" fillId="0" borderId="77" xfId="0" applyFont="1" applyBorder="1" applyAlignment="1">
      <alignment horizontal="center" vertical="top" wrapText="1"/>
    </xf>
    <xf numFmtId="0" fontId="25" fillId="0" borderId="78" xfId="0" applyFont="1" applyBorder="1" applyAlignment="1">
      <alignment horizontal="center" vertical="top" wrapText="1"/>
    </xf>
    <xf numFmtId="0" fontId="64" fillId="22" borderId="75" xfId="0" applyFont="1" applyFill="1" applyBorder="1" applyAlignment="1">
      <alignment horizontal="center" vertical="center" textRotation="90" wrapText="1"/>
    </xf>
    <xf numFmtId="0" fontId="64" fillId="23" borderId="76" xfId="0" applyFont="1" applyFill="1" applyBorder="1" applyAlignment="1">
      <alignment horizontal="center" vertical="center" textRotation="90"/>
    </xf>
    <xf numFmtId="0" fontId="64" fillId="23" borderId="77" xfId="0" applyFont="1" applyFill="1" applyBorder="1" applyAlignment="1">
      <alignment horizontal="center" vertical="center" textRotation="90"/>
    </xf>
    <xf numFmtId="0" fontId="64" fillId="23" borderId="78" xfId="0" applyFont="1" applyFill="1" applyBorder="1" applyAlignment="1">
      <alignment horizontal="center" vertical="center" textRotation="90"/>
    </xf>
    <xf numFmtId="0" fontId="25" fillId="0" borderId="76" xfId="0" applyFont="1" applyBorder="1" applyAlignment="1">
      <alignment horizontal="center" vertical="center" wrapText="1"/>
    </xf>
    <xf numFmtId="0" fontId="25" fillId="0" borderId="77" xfId="0" applyFont="1" applyBorder="1" applyAlignment="1">
      <alignment horizontal="center" vertical="center" wrapText="1"/>
    </xf>
    <xf numFmtId="0" fontId="25" fillId="0" borderId="78" xfId="0" applyFont="1" applyBorder="1" applyAlignment="1">
      <alignment horizontal="center" vertical="center" wrapText="1"/>
    </xf>
    <xf numFmtId="0" fontId="25" fillId="0" borderId="77" xfId="0" applyFont="1" applyBorder="1" applyAlignment="1">
      <alignment horizontal="left" vertical="top" wrapText="1"/>
    </xf>
  </cellXfs>
  <cellStyles count="10">
    <cellStyle name="Comma" xfId="1" builtinId="3"/>
    <cellStyle name="Explanatory Text" xfId="8" builtinId="53"/>
    <cellStyle name="Good" xfId="4" builtinId="26"/>
    <cellStyle name="Heading 3" xfId="3" builtinId="18"/>
    <cellStyle name="Hyperlink" xfId="9" builtinId="8"/>
    <cellStyle name="Input" xfId="5" builtinId="20"/>
    <cellStyle name="Normal" xfId="0" builtinId="0"/>
    <cellStyle name="Note" xfId="7" builtinId="10"/>
    <cellStyle name="Output" xfId="6" builtinId="21"/>
    <cellStyle name="Title" xfId="2" builtinId="15"/>
  </cellStyles>
  <dxfs count="0"/>
  <tableStyles count="0" defaultTableStyle="TableStyleMedium2" defaultPivotStyle="PivotStyleLight16"/>
  <colors>
    <mruColors>
      <color rgb="FFF2F2F2"/>
      <color rgb="FFF3F6FB"/>
      <color rgb="FF4F4F4F"/>
      <color rgb="FFD9EAF7"/>
      <color rgb="FFDCECFF"/>
      <color rgb="FF003366"/>
      <color rgb="FF83F1B5"/>
      <color rgb="FF16C465"/>
      <color rgb="FF12A253"/>
      <color rgb="FF57E1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080927384077"/>
          <c:y val="0.17171296296296296"/>
          <c:w val="0.75314129483814518"/>
          <c:h val="0.6153546952464275"/>
        </c:manualLayout>
      </c:layout>
      <c:barChart>
        <c:barDir val="col"/>
        <c:grouping val="clustered"/>
        <c:varyColors val="0"/>
        <c:ser>
          <c:idx val="0"/>
          <c:order val="0"/>
          <c:tx>
            <c:strRef>
              <c:f>'Tax Summary'!$K$35</c:f>
              <c:strCache>
                <c:ptCount val="1"/>
                <c:pt idx="0">
                  <c:v>Old Regime</c:v>
                </c:pt>
              </c:strCache>
            </c:strRef>
          </c:tx>
          <c:spPr>
            <a:solidFill>
              <a:srgbClr val="003366"/>
            </a:solidFill>
            <a:ln>
              <a:noFill/>
            </a:ln>
            <a:effectLst/>
          </c:spPr>
          <c:invertIfNegative val="0"/>
          <c:cat>
            <c:strRef>
              <c:f>'Tax Summary'!$J$36:$J$39</c:f>
              <c:strCache>
                <c:ptCount val="4"/>
                <c:pt idx="0">
                  <c:v>Total Income</c:v>
                </c:pt>
                <c:pt idx="1">
                  <c:v>Deductions</c:v>
                </c:pt>
                <c:pt idx="2">
                  <c:v>Taxable income</c:v>
                </c:pt>
                <c:pt idx="3">
                  <c:v>Tax Payable</c:v>
                </c:pt>
              </c:strCache>
            </c:strRef>
          </c:cat>
          <c:val>
            <c:numRef>
              <c:f>'Tax Summary'!$K$36:$K$39</c:f>
              <c:numCache>
                <c:formatCode>[$₹-4009]\ #,##0;[$₹-4009]\ \-#,##0</c:formatCode>
                <c:ptCount val="4"/>
                <c:pt idx="0">
                  <c:v>2840000</c:v>
                </c:pt>
                <c:pt idx="1">
                  <c:v>949468</c:v>
                </c:pt>
                <c:pt idx="2">
                  <c:v>1890532</c:v>
                </c:pt>
                <c:pt idx="3">
                  <c:v>394845.984</c:v>
                </c:pt>
              </c:numCache>
            </c:numRef>
          </c:val>
          <c:extLst>
            <c:ext xmlns:c16="http://schemas.microsoft.com/office/drawing/2014/chart" uri="{C3380CC4-5D6E-409C-BE32-E72D297353CC}">
              <c16:uniqueId val="{00000000-80B4-475F-A513-51A9273DBF79}"/>
            </c:ext>
          </c:extLst>
        </c:ser>
        <c:ser>
          <c:idx val="1"/>
          <c:order val="1"/>
          <c:tx>
            <c:strRef>
              <c:f>'Tax Summary'!$L$35</c:f>
              <c:strCache>
                <c:ptCount val="1"/>
                <c:pt idx="0">
                  <c:v>New Regime</c:v>
                </c:pt>
              </c:strCache>
            </c:strRef>
          </c:tx>
          <c:spPr>
            <a:solidFill>
              <a:srgbClr val="8AC1FF"/>
            </a:solidFill>
            <a:ln>
              <a:noFill/>
            </a:ln>
            <a:effectLst/>
          </c:spPr>
          <c:invertIfNegative val="0"/>
          <c:cat>
            <c:strRef>
              <c:f>'Tax Summary'!$J$36:$J$39</c:f>
              <c:strCache>
                <c:ptCount val="4"/>
                <c:pt idx="0">
                  <c:v>Total Income</c:v>
                </c:pt>
                <c:pt idx="1">
                  <c:v>Deductions</c:v>
                </c:pt>
                <c:pt idx="2">
                  <c:v>Taxable income</c:v>
                </c:pt>
                <c:pt idx="3">
                  <c:v>Tax Payable</c:v>
                </c:pt>
              </c:strCache>
            </c:strRef>
          </c:cat>
          <c:val>
            <c:numRef>
              <c:f>'Tax Summary'!$L$36:$L$39</c:f>
              <c:numCache>
                <c:formatCode>[$₹-4009]\ #,##0;[$₹-4009]\ \-#,##0</c:formatCode>
                <c:ptCount val="4"/>
                <c:pt idx="0">
                  <c:v>2840000</c:v>
                </c:pt>
                <c:pt idx="1">
                  <c:v>455000</c:v>
                </c:pt>
                <c:pt idx="2">
                  <c:v>2385000</c:v>
                </c:pt>
                <c:pt idx="3">
                  <c:v>308100</c:v>
                </c:pt>
              </c:numCache>
            </c:numRef>
          </c:val>
          <c:extLst>
            <c:ext xmlns:c16="http://schemas.microsoft.com/office/drawing/2014/chart" uri="{C3380CC4-5D6E-409C-BE32-E72D297353CC}">
              <c16:uniqueId val="{00000001-80B4-475F-A513-51A9273DBF79}"/>
            </c:ext>
          </c:extLst>
        </c:ser>
        <c:dLbls>
          <c:showLegendKey val="0"/>
          <c:showVal val="0"/>
          <c:showCatName val="0"/>
          <c:showSerName val="0"/>
          <c:showPercent val="0"/>
          <c:showBubbleSize val="0"/>
        </c:dLbls>
        <c:gapWidth val="100"/>
        <c:overlap val="-14"/>
        <c:axId val="747924176"/>
        <c:axId val="747929576"/>
      </c:barChart>
      <c:catAx>
        <c:axId val="7479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47929576"/>
        <c:crosses val="autoZero"/>
        <c:auto val="1"/>
        <c:lblAlgn val="ctr"/>
        <c:lblOffset val="100"/>
        <c:noMultiLvlLbl val="0"/>
      </c:catAx>
      <c:valAx>
        <c:axId val="747929576"/>
        <c:scaling>
          <c:orientation val="minMax"/>
        </c:scaling>
        <c:delete val="0"/>
        <c:axPos val="l"/>
        <c:majorGridlines>
          <c:spPr>
            <a:ln w="9525" cap="flat" cmpd="sng" algn="ctr">
              <a:solidFill>
                <a:schemeClr val="bg1">
                  <a:lumMod val="75000"/>
                  <a:alpha val="22000"/>
                </a:schemeClr>
              </a:solidFill>
              <a:round/>
            </a:ln>
            <a:effectLst/>
          </c:spPr>
        </c:majorGridlines>
        <c:numFmt formatCode="\₹#\.00,&quot; 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47924176"/>
        <c:crosses val="autoZero"/>
        <c:crossBetween val="between"/>
      </c:valAx>
      <c:spPr>
        <a:noFill/>
        <a:ln>
          <a:noFill/>
        </a:ln>
        <a:effectLst/>
      </c:spPr>
    </c:plotArea>
    <c:legend>
      <c:legendPos val="b"/>
      <c:layout>
        <c:manualLayout>
          <c:xMode val="edge"/>
          <c:yMode val="edge"/>
          <c:x val="0.10302604783898836"/>
          <c:y val="0.89032327209098872"/>
          <c:w val="0.74542501382749904"/>
          <c:h val="5.689895013123359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www.findtax.in/" TargetMode="External"/><Relationship Id="rId2" Type="http://schemas.openxmlformats.org/officeDocument/2006/relationships/hyperlink" Target="https://findtax.in" TargetMode="External"/><Relationship Id="rId1" Type="http://schemas.openxmlformats.org/officeDocument/2006/relationships/hyperlink" Target="http://www.findtax.in"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172163</xdr:colOff>
      <xdr:row>45</xdr:row>
      <xdr:rowOff>27710</xdr:rowOff>
    </xdr:from>
    <xdr:to>
      <xdr:col>24</xdr:col>
      <xdr:colOff>149751</xdr:colOff>
      <xdr:row>101</xdr:row>
      <xdr:rowOff>32193</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B4CCE2F-90EB-E49A-4875-4C14579D862E}"/>
            </a:ext>
          </a:extLst>
        </xdr:cNvPr>
        <xdr:cNvSpPr/>
      </xdr:nvSpPr>
      <xdr:spPr>
        <a:xfrm>
          <a:off x="172163" y="13840692"/>
          <a:ext cx="27478861" cy="931473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61326</xdr:colOff>
      <xdr:row>3</xdr:row>
      <xdr:rowOff>114796</xdr:rowOff>
    </xdr:from>
    <xdr:to>
      <xdr:col>5</xdr:col>
      <xdr:colOff>621620</xdr:colOff>
      <xdr:row>40</xdr:row>
      <xdr:rowOff>0</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7B79EFA7-14B6-43A5-4835-66F0453F8A95}"/>
            </a:ext>
          </a:extLst>
        </xdr:cNvPr>
        <xdr:cNvSpPr/>
      </xdr:nvSpPr>
      <xdr:spPr>
        <a:xfrm>
          <a:off x="8387908" y="1306287"/>
          <a:ext cx="560294" cy="11176658"/>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56029</xdr:colOff>
      <xdr:row>7</xdr:row>
      <xdr:rowOff>67235</xdr:rowOff>
    </xdr:from>
    <xdr:to>
      <xdr:col>12</xdr:col>
      <xdr:colOff>616324</xdr:colOff>
      <xdr:row>39</xdr:row>
      <xdr:rowOff>0</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FAAC4B8E-9475-47A8-8EE1-C374493A820C}"/>
            </a:ext>
          </a:extLst>
        </xdr:cNvPr>
        <xdr:cNvSpPr/>
      </xdr:nvSpPr>
      <xdr:spPr>
        <a:xfrm>
          <a:off x="13816853" y="2398059"/>
          <a:ext cx="560295" cy="9480176"/>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235528</xdr:colOff>
      <xdr:row>41</xdr:row>
      <xdr:rowOff>69274</xdr:rowOff>
    </xdr:from>
    <xdr:to>
      <xdr:col>42</xdr:col>
      <xdr:colOff>226971</xdr:colOff>
      <xdr:row>96</xdr:row>
      <xdr:rowOff>143030</xdr:rowOff>
    </xdr:to>
    <xdr:sp macro="" textlink="">
      <xdr:nvSpPr>
        <xdr:cNvPr id="2" name="Rectangle 1">
          <a:hlinkClick xmlns:r="http://schemas.openxmlformats.org/officeDocument/2006/relationships" r:id="rId3"/>
          <a:extLst>
            <a:ext uri="{FF2B5EF4-FFF2-40B4-BE49-F238E27FC236}">
              <a16:creationId xmlns:a16="http://schemas.microsoft.com/office/drawing/2014/main" id="{534E86AC-7986-4312-8CD7-B6D636BE2FC9}"/>
            </a:ext>
          </a:extLst>
        </xdr:cNvPr>
        <xdr:cNvSpPr/>
      </xdr:nvSpPr>
      <xdr:spPr>
        <a:xfrm>
          <a:off x="17082655" y="13328074"/>
          <a:ext cx="27478861" cy="921775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312420</xdr:colOff>
      <xdr:row>5</xdr:row>
      <xdr:rowOff>121920</xdr:rowOff>
    </xdr:from>
    <xdr:to>
      <xdr:col>8</xdr:col>
      <xdr:colOff>90827</xdr:colOff>
      <xdr:row>25</xdr:row>
      <xdr:rowOff>22860</xdr:rowOff>
    </xdr:to>
    <xdr:graphicFrame macro="">
      <xdr:nvGraphicFramePr>
        <xdr:cNvPr id="2" name="Chart 1">
          <a:extLst>
            <a:ext uri="{FF2B5EF4-FFF2-40B4-BE49-F238E27FC236}">
              <a16:creationId xmlns:a16="http://schemas.microsoft.com/office/drawing/2014/main" id="{589018E4-3224-4AF6-A718-59B1365AC0B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121920</xdr:colOff>
      <xdr:row>13</xdr:row>
      <xdr:rowOff>106680</xdr:rowOff>
    </xdr:from>
    <xdr:to>
      <xdr:col>10</xdr:col>
      <xdr:colOff>1196340</xdr:colOff>
      <xdr:row>13</xdr:row>
      <xdr:rowOff>114300</xdr:rowOff>
    </xdr:to>
    <xdr:cxnSp macro="">
      <xdr:nvCxnSpPr>
        <xdr:cNvPr id="3" name="Straight Connector 2">
          <a:extLst>
            <a:ext uri="{FF2B5EF4-FFF2-40B4-BE49-F238E27FC236}">
              <a16:creationId xmlns:a16="http://schemas.microsoft.com/office/drawing/2014/main" id="{D2702044-CCF0-4EE9-9C33-D94D30B9AA46}"/>
            </a:ext>
          </a:extLst>
        </xdr:cNvPr>
        <xdr:cNvCxnSpPr/>
      </xdr:nvCxnSpPr>
      <xdr:spPr>
        <a:xfrm>
          <a:off x="6454140" y="3086100"/>
          <a:ext cx="1074420" cy="7620"/>
        </a:xfrm>
        <a:prstGeom prst="line">
          <a:avLst/>
        </a:prstGeom>
        <a:ln w="19050">
          <a:solidFill>
            <a:srgbClr val="D9E1F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53340</xdr:colOff>
      <xdr:row>14</xdr:row>
      <xdr:rowOff>83820</xdr:rowOff>
    </xdr:from>
    <xdr:to>
      <xdr:col>14</xdr:col>
      <xdr:colOff>1295400</xdr:colOff>
      <xdr:row>14</xdr:row>
      <xdr:rowOff>83820</xdr:rowOff>
    </xdr:to>
    <xdr:cxnSp macro="">
      <xdr:nvCxnSpPr>
        <xdr:cNvPr id="4" name="Straight Connector 3">
          <a:extLst>
            <a:ext uri="{FF2B5EF4-FFF2-40B4-BE49-F238E27FC236}">
              <a16:creationId xmlns:a16="http://schemas.microsoft.com/office/drawing/2014/main" id="{DD71DDD2-3FE1-491B-BB39-3F2F9ED4E6DC}"/>
            </a:ext>
          </a:extLst>
        </xdr:cNvPr>
        <xdr:cNvCxnSpPr/>
      </xdr:nvCxnSpPr>
      <xdr:spPr>
        <a:xfrm>
          <a:off x="10523220" y="3436620"/>
          <a:ext cx="1242060" cy="0"/>
        </a:xfrm>
        <a:prstGeom prst="line">
          <a:avLst/>
        </a:prstGeom>
        <a:ln w="19050">
          <a:solidFill>
            <a:srgbClr val="D9E1F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243840</xdr:colOff>
      <xdr:row>14</xdr:row>
      <xdr:rowOff>91440</xdr:rowOff>
    </xdr:from>
    <xdr:to>
      <xdr:col>15</xdr:col>
      <xdr:colOff>1485900</xdr:colOff>
      <xdr:row>14</xdr:row>
      <xdr:rowOff>91440</xdr:rowOff>
    </xdr:to>
    <xdr:cxnSp macro="">
      <xdr:nvCxnSpPr>
        <xdr:cNvPr id="8" name="Straight Connector 7">
          <a:extLst>
            <a:ext uri="{FF2B5EF4-FFF2-40B4-BE49-F238E27FC236}">
              <a16:creationId xmlns:a16="http://schemas.microsoft.com/office/drawing/2014/main" id="{094CB92D-6934-4380-93CD-F2ED95558DD1}"/>
            </a:ext>
          </a:extLst>
        </xdr:cNvPr>
        <xdr:cNvCxnSpPr/>
      </xdr:nvCxnSpPr>
      <xdr:spPr>
        <a:xfrm>
          <a:off x="12092940" y="3444240"/>
          <a:ext cx="1242060" cy="0"/>
        </a:xfrm>
        <a:prstGeom prst="line">
          <a:avLst/>
        </a:prstGeom>
        <a:ln w="19050">
          <a:solidFill>
            <a:srgbClr val="D9E1F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45720</xdr:colOff>
      <xdr:row>13</xdr:row>
      <xdr:rowOff>99060</xdr:rowOff>
    </xdr:from>
    <xdr:to>
      <xdr:col>11</xdr:col>
      <xdr:colOff>1165860</xdr:colOff>
      <xdr:row>13</xdr:row>
      <xdr:rowOff>106680</xdr:rowOff>
    </xdr:to>
    <xdr:cxnSp macro="">
      <xdr:nvCxnSpPr>
        <xdr:cNvPr id="10" name="Straight Connector 9">
          <a:extLst>
            <a:ext uri="{FF2B5EF4-FFF2-40B4-BE49-F238E27FC236}">
              <a16:creationId xmlns:a16="http://schemas.microsoft.com/office/drawing/2014/main" id="{3034F938-74B0-4156-8CE2-CA2110EBFDA1}"/>
            </a:ext>
          </a:extLst>
        </xdr:cNvPr>
        <xdr:cNvCxnSpPr/>
      </xdr:nvCxnSpPr>
      <xdr:spPr>
        <a:xfrm flipV="1">
          <a:off x="7604760" y="3078480"/>
          <a:ext cx="1120140" cy="7620"/>
        </a:xfrm>
        <a:prstGeom prst="line">
          <a:avLst/>
        </a:prstGeom>
        <a:ln w="19050">
          <a:solidFill>
            <a:srgbClr val="D9E1F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312420</xdr:colOff>
      <xdr:row>24</xdr:row>
      <xdr:rowOff>53340</xdr:rowOff>
    </xdr:from>
    <xdr:to>
      <xdr:col>9</xdr:col>
      <xdr:colOff>815340</xdr:colOff>
      <xdr:row>26</xdr:row>
      <xdr:rowOff>114300</xdr:rowOff>
    </xdr:to>
    <xdr:pic>
      <xdr:nvPicPr>
        <xdr:cNvPr id="18" name="Graphic 17" descr="A lightbulb">
          <a:extLst>
            <a:ext uri="{FF2B5EF4-FFF2-40B4-BE49-F238E27FC236}">
              <a16:creationId xmlns:a16="http://schemas.microsoft.com/office/drawing/2014/main" id="{801F3FF9-8356-C0FB-9DAB-B011ABE84C2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5273040" y="5509260"/>
          <a:ext cx="502920" cy="502920"/>
        </a:xfrm>
        <a:prstGeom prst="rect">
          <a:avLst/>
        </a:prstGeom>
      </xdr:spPr>
    </xdr:pic>
    <xdr:clientData/>
  </xdr:twoCellAnchor>
  <xdr:twoCellAnchor>
    <xdr:from>
      <xdr:col>9</xdr:col>
      <xdr:colOff>358140</xdr:colOff>
      <xdr:row>6</xdr:row>
      <xdr:rowOff>0</xdr:rowOff>
    </xdr:from>
    <xdr:to>
      <xdr:col>11</xdr:col>
      <xdr:colOff>1074420</xdr:colOff>
      <xdr:row>6</xdr:row>
      <xdr:rowOff>0</xdr:rowOff>
    </xdr:to>
    <xdr:cxnSp macro="">
      <xdr:nvCxnSpPr>
        <xdr:cNvPr id="21" name="Straight Connector 20">
          <a:extLst>
            <a:ext uri="{FF2B5EF4-FFF2-40B4-BE49-F238E27FC236}">
              <a16:creationId xmlns:a16="http://schemas.microsoft.com/office/drawing/2014/main" id="{44F4242E-B57E-4275-A658-56084BF9F042}"/>
            </a:ext>
          </a:extLst>
        </xdr:cNvPr>
        <xdr:cNvCxnSpPr/>
      </xdr:nvCxnSpPr>
      <xdr:spPr>
        <a:xfrm>
          <a:off x="5318760" y="1287780"/>
          <a:ext cx="3474720" cy="0"/>
        </a:xfrm>
        <a:prstGeom prst="line">
          <a:avLst/>
        </a:prstGeom>
        <a:ln w="19050">
          <a:solidFill>
            <a:srgbClr val="D9E1F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228600</xdr:colOff>
      <xdr:row>11</xdr:row>
      <xdr:rowOff>30480</xdr:rowOff>
    </xdr:from>
    <xdr:to>
      <xdr:col>11</xdr:col>
      <xdr:colOff>944880</xdr:colOff>
      <xdr:row>11</xdr:row>
      <xdr:rowOff>30480</xdr:rowOff>
    </xdr:to>
    <xdr:cxnSp macro="">
      <xdr:nvCxnSpPr>
        <xdr:cNvPr id="26" name="Straight Connector 25">
          <a:extLst>
            <a:ext uri="{FF2B5EF4-FFF2-40B4-BE49-F238E27FC236}">
              <a16:creationId xmlns:a16="http://schemas.microsoft.com/office/drawing/2014/main" id="{734670EE-72BF-4F3C-A770-20127677C905}"/>
            </a:ext>
          </a:extLst>
        </xdr:cNvPr>
        <xdr:cNvCxnSpPr/>
      </xdr:nvCxnSpPr>
      <xdr:spPr>
        <a:xfrm>
          <a:off x="5189220" y="2491740"/>
          <a:ext cx="3474720" cy="0"/>
        </a:xfrm>
        <a:prstGeom prst="line">
          <a:avLst/>
        </a:prstGeom>
        <a:ln w="19050">
          <a:solidFill>
            <a:srgbClr val="D9E1F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624840</xdr:colOff>
      <xdr:row>6</xdr:row>
      <xdr:rowOff>0</xdr:rowOff>
    </xdr:from>
    <xdr:to>
      <xdr:col>15</xdr:col>
      <xdr:colOff>1104900</xdr:colOff>
      <xdr:row>6</xdr:row>
      <xdr:rowOff>0</xdr:rowOff>
    </xdr:to>
    <xdr:cxnSp macro="">
      <xdr:nvCxnSpPr>
        <xdr:cNvPr id="27" name="Straight Connector 26">
          <a:extLst>
            <a:ext uri="{FF2B5EF4-FFF2-40B4-BE49-F238E27FC236}">
              <a16:creationId xmlns:a16="http://schemas.microsoft.com/office/drawing/2014/main" id="{252F9B57-B49E-4791-B1A3-AFFB0FFCA174}"/>
            </a:ext>
          </a:extLst>
        </xdr:cNvPr>
        <xdr:cNvCxnSpPr/>
      </xdr:nvCxnSpPr>
      <xdr:spPr>
        <a:xfrm>
          <a:off x="9829800" y="1287780"/>
          <a:ext cx="3474720" cy="0"/>
        </a:xfrm>
        <a:prstGeom prst="line">
          <a:avLst/>
        </a:prstGeom>
        <a:ln w="19050">
          <a:solidFill>
            <a:srgbClr val="D9E1F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640080</xdr:colOff>
      <xdr:row>12</xdr:row>
      <xdr:rowOff>22860</xdr:rowOff>
    </xdr:from>
    <xdr:to>
      <xdr:col>15</xdr:col>
      <xdr:colOff>1120140</xdr:colOff>
      <xdr:row>12</xdr:row>
      <xdr:rowOff>22860</xdr:rowOff>
    </xdr:to>
    <xdr:cxnSp macro="">
      <xdr:nvCxnSpPr>
        <xdr:cNvPr id="28" name="Straight Connector 27">
          <a:extLst>
            <a:ext uri="{FF2B5EF4-FFF2-40B4-BE49-F238E27FC236}">
              <a16:creationId xmlns:a16="http://schemas.microsoft.com/office/drawing/2014/main" id="{F5CA2236-9B85-46C6-9772-B2FE32506FE1}"/>
            </a:ext>
          </a:extLst>
        </xdr:cNvPr>
        <xdr:cNvCxnSpPr/>
      </xdr:nvCxnSpPr>
      <xdr:spPr>
        <a:xfrm>
          <a:off x="9845040" y="2743200"/>
          <a:ext cx="3474720" cy="0"/>
        </a:xfrm>
        <a:prstGeom prst="line">
          <a:avLst/>
        </a:prstGeom>
        <a:ln w="19050">
          <a:solidFill>
            <a:srgbClr val="D9E1F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564C-3980-47B5-ABEE-B69855583DC3}">
  <sheetPr>
    <tabColor theme="2" tint="-0.249977111117893"/>
  </sheetPr>
  <dimension ref="B6:B27"/>
  <sheetViews>
    <sheetView showGridLines="0" workbookViewId="0">
      <selection activeCell="B24" sqref="B24"/>
    </sheetView>
  </sheetViews>
  <sheetFormatPr defaultColWidth="8.85546875" defaultRowHeight="16.5" x14ac:dyDescent="0.3"/>
  <cols>
    <col min="1" max="1" width="8.85546875" style="90"/>
    <col min="2" max="2" width="154.7109375" style="90" customWidth="1"/>
    <col min="3" max="16384" width="8.85546875" style="90"/>
  </cols>
  <sheetData>
    <row r="6" spans="2:2" ht="21" x14ac:dyDescent="0.3">
      <c r="B6" s="142" t="s">
        <v>219</v>
      </c>
    </row>
    <row r="7" spans="2:2" x14ac:dyDescent="0.3">
      <c r="B7" s="143"/>
    </row>
    <row r="8" spans="2:2" x14ac:dyDescent="0.3">
      <c r="B8" s="144" t="s">
        <v>220</v>
      </c>
    </row>
    <row r="9" spans="2:2" x14ac:dyDescent="0.3">
      <c r="B9" s="143" t="s">
        <v>227</v>
      </c>
    </row>
    <row r="10" spans="2:2" x14ac:dyDescent="0.3">
      <c r="B10" s="143"/>
    </row>
    <row r="11" spans="2:2" x14ac:dyDescent="0.3">
      <c r="B11" s="144" t="s">
        <v>221</v>
      </c>
    </row>
    <row r="12" spans="2:2" x14ac:dyDescent="0.3">
      <c r="B12" s="143" t="s">
        <v>228</v>
      </c>
    </row>
    <row r="13" spans="2:2" x14ac:dyDescent="0.3">
      <c r="B13" s="143"/>
    </row>
    <row r="14" spans="2:2" x14ac:dyDescent="0.3">
      <c r="B14" s="144" t="s">
        <v>222</v>
      </c>
    </row>
    <row r="15" spans="2:2" x14ac:dyDescent="0.3">
      <c r="B15" s="143" t="s">
        <v>229</v>
      </c>
    </row>
    <row r="16" spans="2:2" x14ac:dyDescent="0.3">
      <c r="B16" s="143"/>
    </row>
    <row r="17" spans="2:2" x14ac:dyDescent="0.3">
      <c r="B17" s="144" t="s">
        <v>223</v>
      </c>
    </row>
    <row r="18" spans="2:2" x14ac:dyDescent="0.3">
      <c r="B18" s="143" t="s">
        <v>230</v>
      </c>
    </row>
    <row r="19" spans="2:2" x14ac:dyDescent="0.3">
      <c r="B19" s="143"/>
    </row>
    <row r="20" spans="2:2" x14ac:dyDescent="0.3">
      <c r="B20" s="144" t="s">
        <v>224</v>
      </c>
    </row>
    <row r="21" spans="2:2" x14ac:dyDescent="0.3">
      <c r="B21" s="143" t="s">
        <v>231</v>
      </c>
    </row>
    <row r="22" spans="2:2" x14ac:dyDescent="0.3">
      <c r="B22" s="143"/>
    </row>
    <row r="23" spans="2:2" x14ac:dyDescent="0.3">
      <c r="B23" s="144" t="s">
        <v>225</v>
      </c>
    </row>
    <row r="24" spans="2:2" x14ac:dyDescent="0.3">
      <c r="B24" s="143" t="s">
        <v>232</v>
      </c>
    </row>
    <row r="25" spans="2:2" x14ac:dyDescent="0.3">
      <c r="B25" s="143"/>
    </row>
    <row r="26" spans="2:2" x14ac:dyDescent="0.3">
      <c r="B26" s="144" t="s">
        <v>226</v>
      </c>
    </row>
    <row r="27" spans="2:2" x14ac:dyDescent="0.3">
      <c r="B27" s="143" t="s">
        <v>233</v>
      </c>
    </row>
  </sheetData>
  <sheetProtection algorithmName="SHA-512" hashValue="RHLa62uzEr27E3b9CyI1DcWFZx9WMdFJk0wXrWn3OLJ5KQKQvy5GBfUrb7fGOXFbload3t98eSIxbFmVqcpOwg==" saltValue="UIQKbF3RVE31ClTMW8enPw==" spinCount="100000" sheet="1" objects="1" scenarios="1"/>
  <pageMargins left="0.7" right="0.7" top="0.75" bottom="0.75" header="0.3" footer="0.3"/>
  <headerFooter>
    <oddFooter>&amp;C_x000D_&amp;1#&amp;"Aptos"&amp;8&amp;K000000 Document Classification: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1EE2-9111-48F7-B9C0-3B1FE624C758}">
  <sheetPr>
    <tabColor rgb="FFFFC000"/>
    <pageSetUpPr autoPageBreaks="0"/>
  </sheetPr>
  <dimension ref="A1:X994"/>
  <sheetViews>
    <sheetView showGridLines="0" tabSelected="1" zoomScale="53" zoomScaleNormal="53" workbookViewId="0">
      <selection activeCell="E26" sqref="E26"/>
    </sheetView>
  </sheetViews>
  <sheetFormatPr defaultColWidth="14.42578125" defaultRowHeight="15" x14ac:dyDescent="0.25"/>
  <cols>
    <col min="1" max="1" width="9.28515625" style="1" customWidth="1"/>
    <col min="2" max="2" width="64.140625" style="1" customWidth="1"/>
    <col min="3" max="3" width="21.140625" style="1" bestFit="1" customWidth="1"/>
    <col min="4" max="4" width="20.7109375" style="1" customWidth="1"/>
    <col min="5" max="5" width="21.140625" style="1" bestFit="1" customWidth="1"/>
    <col min="6" max="6" width="9.5703125" style="1" customWidth="1"/>
    <col min="7" max="7" width="14.140625" style="1" customWidth="1"/>
    <col min="8" max="8" width="12.140625" style="1" customWidth="1"/>
    <col min="9" max="9" width="10.5703125" style="1" customWidth="1"/>
    <col min="10" max="10" width="20.7109375" style="1" customWidth="1"/>
    <col min="11" max="12" width="21.140625" style="1" bestFit="1" customWidth="1"/>
    <col min="13" max="13" width="9.5703125" style="1" customWidth="1"/>
    <col min="14" max="14" width="9.140625" style="1" customWidth="1"/>
    <col min="15" max="15" width="18" style="1" customWidth="1"/>
    <col min="16" max="16" width="10.42578125" style="1" customWidth="1"/>
    <col min="17" max="18" width="21.140625" style="1" bestFit="1" customWidth="1"/>
    <col min="19" max="19" width="20.28515625" style="1" customWidth="1"/>
    <col min="20" max="27" width="9.140625" style="1" customWidth="1"/>
    <col min="28" max="16384" width="14.42578125" style="1"/>
  </cols>
  <sheetData>
    <row r="1" spans="2:21" ht="15.75" thickBot="1" x14ac:dyDescent="0.3"/>
    <row r="2" spans="2:21" ht="58.15" customHeight="1" thickBot="1" x14ac:dyDescent="0.3">
      <c r="B2" s="180" t="s">
        <v>90</v>
      </c>
      <c r="C2" s="181"/>
      <c r="D2" s="181"/>
      <c r="E2" s="181"/>
      <c r="F2" s="181"/>
      <c r="G2" s="181"/>
      <c r="H2" s="181"/>
      <c r="I2" s="181"/>
      <c r="J2" s="181"/>
      <c r="K2" s="181"/>
      <c r="L2" s="181"/>
      <c r="M2" s="181"/>
      <c r="N2" s="181"/>
      <c r="O2" s="181"/>
      <c r="P2" s="181"/>
      <c r="Q2" s="181"/>
      <c r="R2" s="181"/>
      <c r="S2" s="182"/>
    </row>
    <row r="3" spans="2:21" s="11" customFormat="1" ht="21" customHeight="1" x14ac:dyDescent="0.25">
      <c r="B3" s="220" t="s">
        <v>50</v>
      </c>
      <c r="C3" s="220"/>
      <c r="D3" s="220"/>
      <c r="E3" s="220"/>
      <c r="F3" s="220"/>
      <c r="G3" s="10"/>
      <c r="H3" s="10"/>
      <c r="I3" s="10"/>
      <c r="J3" s="10"/>
      <c r="K3" s="10"/>
      <c r="L3" s="10"/>
      <c r="M3" s="10"/>
      <c r="N3" s="10"/>
      <c r="O3" s="10"/>
      <c r="P3" s="10"/>
      <c r="Q3" s="10"/>
      <c r="R3" s="10"/>
      <c r="S3" s="10"/>
    </row>
    <row r="4" spans="2:21" ht="15" customHeight="1" thickBot="1" x14ac:dyDescent="0.3"/>
    <row r="5" spans="2:21" s="4" customFormat="1" ht="24.6" customHeight="1" x14ac:dyDescent="0.3">
      <c r="B5" s="39" t="s">
        <v>0</v>
      </c>
      <c r="C5" s="198" t="s">
        <v>49</v>
      </c>
      <c r="D5" s="198"/>
      <c r="E5" s="198"/>
      <c r="G5" s="222" t="s">
        <v>48</v>
      </c>
      <c r="H5" s="223"/>
      <c r="T5" s="8"/>
      <c r="U5" s="8"/>
    </row>
    <row r="6" spans="2:21" s="4" customFormat="1" ht="24.6" customHeight="1" x14ac:dyDescent="0.3">
      <c r="B6" s="39" t="s">
        <v>1</v>
      </c>
      <c r="C6" s="211">
        <v>35</v>
      </c>
      <c r="D6" s="212"/>
      <c r="E6" s="9" t="s">
        <v>38</v>
      </c>
      <c r="G6" s="224"/>
      <c r="H6" s="225"/>
    </row>
    <row r="7" spans="2:21" s="4" customFormat="1" ht="24.6" customHeight="1" thickBot="1" x14ac:dyDescent="0.35">
      <c r="B7" s="39" t="s">
        <v>6</v>
      </c>
      <c r="C7" s="201" t="s">
        <v>7</v>
      </c>
      <c r="D7" s="201"/>
      <c r="E7" s="201"/>
      <c r="G7" s="226"/>
      <c r="H7" s="227"/>
    </row>
    <row r="8" spans="2:21" s="4" customFormat="1" ht="24.6" customHeight="1" x14ac:dyDescent="0.3">
      <c r="B8" s="39" t="s">
        <v>37</v>
      </c>
      <c r="C8" s="211">
        <v>65</v>
      </c>
      <c r="D8" s="212"/>
      <c r="E8" s="9" t="s">
        <v>38</v>
      </c>
      <c r="G8" s="13"/>
      <c r="H8" s="13"/>
      <c r="J8" s="12"/>
      <c r="K8" s="12"/>
      <c r="L8" s="12"/>
      <c r="M8" s="12"/>
      <c r="N8" s="12"/>
      <c r="P8" s="7"/>
      <c r="Q8" s="7"/>
      <c r="R8" s="7"/>
      <c r="S8" s="7"/>
    </row>
    <row r="9" spans="2:21" s="4" customFormat="1" ht="24.6" customHeight="1" thickBot="1" x14ac:dyDescent="0.35">
      <c r="B9" s="202"/>
      <c r="C9" s="202"/>
      <c r="D9" s="202"/>
      <c r="E9" s="202"/>
    </row>
    <row r="10" spans="2:21" s="4" customFormat="1" ht="24.6" customHeight="1" thickBot="1" x14ac:dyDescent="0.35">
      <c r="B10" s="230" t="s">
        <v>58</v>
      </c>
      <c r="C10" s="231"/>
      <c r="D10" s="231"/>
      <c r="E10" s="232"/>
      <c r="G10" s="188" t="s">
        <v>27</v>
      </c>
      <c r="H10" s="189"/>
      <c r="I10" s="189"/>
      <c r="J10" s="189"/>
      <c r="K10" s="189"/>
      <c r="L10" s="190"/>
      <c r="N10" s="188" t="s">
        <v>28</v>
      </c>
      <c r="O10" s="189"/>
      <c r="P10" s="189"/>
      <c r="Q10" s="189"/>
      <c r="R10" s="189"/>
      <c r="S10" s="190"/>
    </row>
    <row r="11" spans="2:21" s="4" customFormat="1" ht="24.6" customHeight="1" thickBot="1" x14ac:dyDescent="0.35">
      <c r="B11" s="183" t="s">
        <v>33</v>
      </c>
      <c r="C11" s="184"/>
      <c r="D11" s="184"/>
      <c r="E11" s="185"/>
      <c r="G11" s="199" t="s">
        <v>2</v>
      </c>
      <c r="H11" s="200"/>
      <c r="I11" s="62" t="s">
        <v>3</v>
      </c>
      <c r="J11" s="62" t="s">
        <v>34</v>
      </c>
      <c r="K11" s="62" t="s">
        <v>4</v>
      </c>
      <c r="L11" s="63" t="s">
        <v>5</v>
      </c>
      <c r="N11" s="195" t="s">
        <v>29</v>
      </c>
      <c r="O11" s="196"/>
      <c r="P11" s="196"/>
      <c r="Q11" s="196"/>
      <c r="R11" s="196"/>
      <c r="S11" s="197"/>
    </row>
    <row r="12" spans="2:21" s="4" customFormat="1" ht="24.6" customHeight="1" thickBot="1" x14ac:dyDescent="0.35">
      <c r="B12" s="45" t="s">
        <v>17</v>
      </c>
      <c r="C12" s="47" t="s">
        <v>24</v>
      </c>
      <c r="D12" s="47" t="s">
        <v>25</v>
      </c>
      <c r="E12" s="47" t="s">
        <v>26</v>
      </c>
      <c r="G12" s="216" t="str">
        <f>+IF(C6&lt;60,"Upto 2,50,000",IF(C6&lt;80,"Upto 3,00,000","Upto 5,00,000"))</f>
        <v>Upto 2,50,000</v>
      </c>
      <c r="H12" s="217"/>
      <c r="I12" s="58">
        <v>0</v>
      </c>
      <c r="J12" s="41">
        <f>+IF(C6&lt;60,(IF(D37&gt;250000,250000,D37)),IF(C6&lt;80,(IF(D37&gt;300000,300000,D37)),(IF(D37&gt;500000,500000,D37))))</f>
        <v>250000</v>
      </c>
      <c r="K12" s="41">
        <f>+IF(D37&gt;250000,D37-J12,0)</f>
        <v>1640532</v>
      </c>
      <c r="L12" s="52">
        <v>0</v>
      </c>
      <c r="N12" s="191" t="s">
        <v>2</v>
      </c>
      <c r="O12" s="192"/>
      <c r="P12" s="57" t="s">
        <v>3</v>
      </c>
      <c r="Q12" s="57" t="s">
        <v>34</v>
      </c>
      <c r="R12" s="57" t="s">
        <v>4</v>
      </c>
      <c r="S12" s="68" t="s">
        <v>5</v>
      </c>
    </row>
    <row r="13" spans="2:21" s="4" customFormat="1" ht="27" customHeight="1" x14ac:dyDescent="0.3">
      <c r="B13" s="49" t="s">
        <v>18</v>
      </c>
      <c r="C13" s="46">
        <v>2500000</v>
      </c>
      <c r="D13" s="48">
        <f>+C13</f>
        <v>2500000</v>
      </c>
      <c r="E13" s="50">
        <f>+C13</f>
        <v>2500000</v>
      </c>
      <c r="G13" s="228" t="str">
        <f>+IF(C6&lt;60,"2,50,001 - 5,00,000",IF(C6&lt;80,"3,00,000 - 5,00,000",0))</f>
        <v>2,50,001 - 5,00,000</v>
      </c>
      <c r="H13" s="229"/>
      <c r="I13" s="59" t="str">
        <f>+IF(C6&lt;80,"5%",0)</f>
        <v>5%</v>
      </c>
      <c r="J13" s="41">
        <f>+IF(C6&lt;60,(IF(K12&gt;250000,250000,K12)),IF(C6&lt;80,(IF(K12&gt;200000,200000,K12)),0))</f>
        <v>250000</v>
      </c>
      <c r="K13" s="41">
        <f>+IF(C6&lt;60,IF(K12&gt;250000,K12-250000,0),IF(C6&lt;80,IF(K12&gt;200000,K12-200000,0),0))</f>
        <v>1390532</v>
      </c>
      <c r="L13" s="52">
        <f>+J13*I13</f>
        <v>12500</v>
      </c>
      <c r="N13" s="193" t="s">
        <v>51</v>
      </c>
      <c r="O13" s="194"/>
      <c r="P13" s="44">
        <v>0</v>
      </c>
      <c r="Q13" s="41">
        <f>+IF(E37&gt;400000,400000,E37)</f>
        <v>400000</v>
      </c>
      <c r="R13" s="41">
        <f>+IF(E37&gt;400000,E37-400000,0)</f>
        <v>1985000</v>
      </c>
      <c r="S13" s="52">
        <f>+Q13*P13</f>
        <v>0</v>
      </c>
    </row>
    <row r="14" spans="2:21" s="4" customFormat="1" ht="27" customHeight="1" x14ac:dyDescent="0.3">
      <c r="B14" s="51" t="s">
        <v>19</v>
      </c>
      <c r="C14" s="42"/>
      <c r="D14" s="41">
        <f>+IF(C13&gt;50000,50000,C13)</f>
        <v>50000</v>
      </c>
      <c r="E14" s="52">
        <f>+IF(C13&gt;75000,75000,C13)</f>
        <v>75000</v>
      </c>
      <c r="G14" s="216" t="s">
        <v>8</v>
      </c>
      <c r="H14" s="217"/>
      <c r="I14" s="60">
        <v>0.2</v>
      </c>
      <c r="J14" s="41">
        <f>+IF(C6&lt;60,IF(K13&gt;500000,500000,K13),IF(C6&lt;80,IF(K13&gt;500000,500000,K13),IF(K12&gt;500000,500000,K12)))</f>
        <v>500000</v>
      </c>
      <c r="K14" s="41">
        <f>+IF(C6&lt;60,IF(K13&gt;500000,K13-500000,0),IF(C6&lt;80,IF(K13&gt;500000,K13-500000,0),IF(K12&gt;500000,K12-500000,0)))</f>
        <v>890532</v>
      </c>
      <c r="L14" s="52">
        <f>+J14*I14</f>
        <v>100000</v>
      </c>
      <c r="N14" s="193" t="s">
        <v>52</v>
      </c>
      <c r="O14" s="194"/>
      <c r="P14" s="67">
        <v>0.05</v>
      </c>
      <c r="Q14" s="41">
        <f>+IF(R13&gt;400000,400000,R13)</f>
        <v>400000</v>
      </c>
      <c r="R14" s="41">
        <f>+IF(R13&gt;400000,R13-400000,0)</f>
        <v>1585000</v>
      </c>
      <c r="S14" s="52">
        <f t="shared" ref="S14:S19" si="0">+Q14*P14</f>
        <v>20000</v>
      </c>
    </row>
    <row r="15" spans="2:21" s="4" customFormat="1" ht="27" customHeight="1" x14ac:dyDescent="0.3">
      <c r="B15" s="51" t="s">
        <v>20</v>
      </c>
      <c r="C15" s="42"/>
      <c r="D15" s="41">
        <f>+D13-D14</f>
        <v>2450000</v>
      </c>
      <c r="E15" s="52">
        <f>+E13-E14</f>
        <v>2425000</v>
      </c>
      <c r="G15" s="216" t="s">
        <v>9</v>
      </c>
      <c r="H15" s="217"/>
      <c r="I15" s="60">
        <v>0.3</v>
      </c>
      <c r="J15" s="41">
        <f>+IF(K14&gt;0,K14,0)</f>
        <v>890532</v>
      </c>
      <c r="K15" s="41"/>
      <c r="L15" s="52">
        <f>+J15*I15</f>
        <v>267159.59999999998</v>
      </c>
      <c r="N15" s="193" t="s">
        <v>53</v>
      </c>
      <c r="O15" s="194"/>
      <c r="P15" s="67">
        <v>0.1</v>
      </c>
      <c r="Q15" s="41">
        <f>+IF(R14&gt;400000,400000,R14)</f>
        <v>400000</v>
      </c>
      <c r="R15" s="41">
        <f>+IF(R14&gt;400000,R14-400000,0)</f>
        <v>1185000</v>
      </c>
      <c r="S15" s="52">
        <f t="shared" si="0"/>
        <v>40000</v>
      </c>
    </row>
    <row r="16" spans="2:21" s="4" customFormat="1" ht="27" customHeight="1" x14ac:dyDescent="0.3">
      <c r="B16" s="53" t="s">
        <v>80</v>
      </c>
      <c r="C16" s="40">
        <v>15000</v>
      </c>
      <c r="D16" s="41">
        <f>+C16</f>
        <v>15000</v>
      </c>
      <c r="E16" s="52">
        <f>+C16</f>
        <v>15000</v>
      </c>
      <c r="G16" s="178" t="s">
        <v>30</v>
      </c>
      <c r="H16" s="179"/>
      <c r="I16" s="179"/>
      <c r="J16" s="179"/>
      <c r="K16" s="179"/>
      <c r="L16" s="65">
        <f>+SUM(L12:L15)</f>
        <v>379659.6</v>
      </c>
      <c r="N16" s="193" t="s">
        <v>54</v>
      </c>
      <c r="O16" s="194"/>
      <c r="P16" s="67">
        <v>0.15</v>
      </c>
      <c r="Q16" s="41">
        <f>+IF(R15&gt;400000,400000,R15)</f>
        <v>400000</v>
      </c>
      <c r="R16" s="41">
        <f>+IF(R15&gt;400000,R15-400000,0)</f>
        <v>785000</v>
      </c>
      <c r="S16" s="52">
        <f t="shared" si="0"/>
        <v>60000</v>
      </c>
    </row>
    <row r="17" spans="2:19" s="4" customFormat="1" ht="27" customHeight="1" x14ac:dyDescent="0.3">
      <c r="B17" s="53" t="s">
        <v>81</v>
      </c>
      <c r="C17" s="40">
        <v>50000</v>
      </c>
      <c r="D17" s="41">
        <f>+C17</f>
        <v>50000</v>
      </c>
      <c r="E17" s="52">
        <f>+C17</f>
        <v>50000</v>
      </c>
      <c r="G17" s="186" t="s">
        <v>31</v>
      </c>
      <c r="H17" s="187"/>
      <c r="I17" s="187"/>
      <c r="J17" s="187"/>
      <c r="K17" s="187"/>
      <c r="L17" s="221">
        <f>+IF(C7="RESIDENT",IF(D37&lt;=500000,IF(L16&gt;12500,0,L16),0),0)</f>
        <v>0</v>
      </c>
      <c r="N17" s="193" t="s">
        <v>55</v>
      </c>
      <c r="O17" s="194"/>
      <c r="P17" s="67">
        <v>0.2</v>
      </c>
      <c r="Q17" s="41">
        <f>+IF(R16&gt;400000,400000,R16)</f>
        <v>400000</v>
      </c>
      <c r="R17" s="41">
        <f>+IF(R16&gt;400000,R16-400000,0)</f>
        <v>385000</v>
      </c>
      <c r="S17" s="52">
        <f t="shared" si="0"/>
        <v>80000</v>
      </c>
    </row>
    <row r="18" spans="2:19" s="4" customFormat="1" ht="24.6" customHeight="1" x14ac:dyDescent="0.3">
      <c r="B18" s="51" t="s">
        <v>82</v>
      </c>
      <c r="C18" s="40">
        <v>5000</v>
      </c>
      <c r="D18" s="41">
        <f>+C18</f>
        <v>5000</v>
      </c>
      <c r="E18" s="52">
        <f>+C18</f>
        <v>5000</v>
      </c>
      <c r="G18" s="186"/>
      <c r="H18" s="187"/>
      <c r="I18" s="187"/>
      <c r="J18" s="187"/>
      <c r="K18" s="187"/>
      <c r="L18" s="221"/>
      <c r="N18" s="193" t="s">
        <v>56</v>
      </c>
      <c r="O18" s="194"/>
      <c r="P18" s="67">
        <v>0.25</v>
      </c>
      <c r="Q18" s="41">
        <f>+IF(R17&gt;400000,400000,R17)</f>
        <v>385000</v>
      </c>
      <c r="R18" s="41">
        <f t="shared" ref="R18" si="1">+IF(R17&gt;400000,R17-400000,0)</f>
        <v>0</v>
      </c>
      <c r="S18" s="52">
        <f t="shared" si="0"/>
        <v>96250</v>
      </c>
    </row>
    <row r="19" spans="2:19" s="4" customFormat="1" ht="27" customHeight="1" x14ac:dyDescent="0.3">
      <c r="B19" s="53" t="s">
        <v>61</v>
      </c>
      <c r="C19" s="40">
        <v>300000</v>
      </c>
      <c r="D19" s="41">
        <f>+C19*0.7</f>
        <v>210000</v>
      </c>
      <c r="E19" s="52">
        <f>+C19*0.7</f>
        <v>210000</v>
      </c>
      <c r="G19" s="216" t="s">
        <v>10</v>
      </c>
      <c r="H19" s="217"/>
      <c r="I19" s="217"/>
      <c r="J19" s="217"/>
      <c r="K19" s="217"/>
      <c r="L19" s="52">
        <f>+L16-L17</f>
        <v>379659.6</v>
      </c>
      <c r="N19" s="193" t="s">
        <v>57</v>
      </c>
      <c r="O19" s="194"/>
      <c r="P19" s="67">
        <v>0.3</v>
      </c>
      <c r="Q19" s="41">
        <f>+R18</f>
        <v>0</v>
      </c>
      <c r="R19" s="41"/>
      <c r="S19" s="52">
        <f t="shared" si="0"/>
        <v>0</v>
      </c>
    </row>
    <row r="20" spans="2:19" s="4" customFormat="1" ht="27.6" customHeight="1" x14ac:dyDescent="0.3">
      <c r="B20" s="53" t="s">
        <v>83</v>
      </c>
      <c r="C20" s="40">
        <v>60000</v>
      </c>
      <c r="D20" s="41">
        <f>+C20</f>
        <v>60000</v>
      </c>
      <c r="E20" s="52">
        <f>+C20</f>
        <v>60000</v>
      </c>
      <c r="G20" s="216" t="s">
        <v>11</v>
      </c>
      <c r="H20" s="217"/>
      <c r="I20" s="217"/>
      <c r="J20" s="217"/>
      <c r="K20" s="217"/>
      <c r="L20" s="52">
        <f>+IF(D37&gt;50000000,L19*0.37,(IF(D37&gt;20000000,L19*0.25,(IF(D37&gt;10000000,L19*0.15,(IF(D37&gt;5000000,L19*0.1,0)))))))</f>
        <v>0</v>
      </c>
      <c r="N20" s="178" t="s">
        <v>30</v>
      </c>
      <c r="O20" s="179"/>
      <c r="P20" s="179"/>
      <c r="Q20" s="179"/>
      <c r="R20" s="179"/>
      <c r="S20" s="65">
        <f>+SUM(S13:S19)</f>
        <v>296250</v>
      </c>
    </row>
    <row r="21" spans="2:19" s="4" customFormat="1" ht="18.75" hidden="1" x14ac:dyDescent="0.3">
      <c r="B21" s="53"/>
      <c r="C21" s="40"/>
      <c r="D21" s="41"/>
      <c r="E21" s="52"/>
      <c r="G21" s="203"/>
      <c r="H21" s="204"/>
      <c r="I21" s="204"/>
      <c r="J21" s="204"/>
      <c r="K21" s="204"/>
      <c r="L21" s="52">
        <f>+IF((L19+L20)&gt;(IF(D37&gt;50000000,(D37-50000000+18515625),IF(D37&gt;20000000,D37-20000000+6684375,IF(D37&gt;10000000,D37-10000000+3093750,IF(D37&gt;5000000,D37-5000000+1312500,0))))),(IF(D37&gt;50000000,(D37-50000000+18515625),IF(D37&gt;20000000,D37-20000000+6684375,IF(D37&gt;10000000,D37-10000000+3093750,IF(D37&gt;5000000,D37-5000000+1312500,0))))),0)</f>
        <v>0</v>
      </c>
      <c r="N21" s="64"/>
      <c r="O21" s="61"/>
      <c r="P21" s="61"/>
      <c r="Q21" s="61"/>
      <c r="R21" s="61"/>
      <c r="S21" s="65"/>
    </row>
    <row r="22" spans="2:19" s="4" customFormat="1" ht="27.6" customHeight="1" x14ac:dyDescent="0.3">
      <c r="B22" s="84" t="s">
        <v>105</v>
      </c>
      <c r="C22" s="85"/>
      <c r="D22" s="85">
        <f>+SUM(D16:D20)+D13</f>
        <v>2840000</v>
      </c>
      <c r="E22" s="65">
        <f>+SUM(E16:E20)+E13</f>
        <v>2840000</v>
      </c>
      <c r="G22" s="216" t="s">
        <v>60</v>
      </c>
      <c r="H22" s="217"/>
      <c r="I22" s="217"/>
      <c r="J22" s="217"/>
      <c r="K22" s="217"/>
      <c r="L22" s="52">
        <f>+IF(L21&gt;0,L19+L20-L21,0)</f>
        <v>0</v>
      </c>
      <c r="N22" s="205" t="s">
        <v>59</v>
      </c>
      <c r="O22" s="206"/>
      <c r="P22" s="206"/>
      <c r="Q22" s="206"/>
      <c r="R22" s="207"/>
      <c r="S22" s="69">
        <f>IF(C7="RESIDENT",IF(E37&gt;=1200000,(IF(S20&gt;=(E37-1200000),(S20-(E37-1200000)),IF(S20&gt;60000,0,S20))),IF(S20&gt;60000,0,S20)),0)</f>
        <v>0</v>
      </c>
    </row>
    <row r="23" spans="2:19" s="4" customFormat="1" ht="27" customHeight="1" x14ac:dyDescent="0.3">
      <c r="B23" s="51" t="s">
        <v>93</v>
      </c>
      <c r="C23" s="40">
        <v>234234</v>
      </c>
      <c r="D23" s="218">
        <f>+IF((C23+C24-D19)&gt;200000,200000+D19,(C23+C24))</f>
        <v>354234</v>
      </c>
      <c r="E23" s="52" t="s">
        <v>13</v>
      </c>
      <c r="G23" s="216" t="s">
        <v>32</v>
      </c>
      <c r="H23" s="217"/>
      <c r="I23" s="217"/>
      <c r="J23" s="217"/>
      <c r="K23" s="217"/>
      <c r="L23" s="52">
        <f>+L19+L20-L22</f>
        <v>379659.6</v>
      </c>
      <c r="N23" s="216" t="s">
        <v>10</v>
      </c>
      <c r="O23" s="217"/>
      <c r="P23" s="217"/>
      <c r="Q23" s="217"/>
      <c r="R23" s="217"/>
      <c r="S23" s="52">
        <f>+S20-S22</f>
        <v>296250</v>
      </c>
    </row>
    <row r="24" spans="2:19" s="4" customFormat="1" ht="27" customHeight="1" x14ac:dyDescent="0.3">
      <c r="B24" s="51" t="s">
        <v>94</v>
      </c>
      <c r="C24" s="40">
        <v>120000</v>
      </c>
      <c r="D24" s="219"/>
      <c r="E24" s="54">
        <f>+IF(C24-E19&gt;0,E19,C24)</f>
        <v>120000</v>
      </c>
      <c r="G24" s="216" t="s">
        <v>12</v>
      </c>
      <c r="H24" s="217"/>
      <c r="I24" s="217"/>
      <c r="J24" s="217"/>
      <c r="K24" s="217"/>
      <c r="L24" s="52">
        <f>+L23*0.04</f>
        <v>15186.384</v>
      </c>
      <c r="N24" s="216" t="s">
        <v>11</v>
      </c>
      <c r="O24" s="217"/>
      <c r="P24" s="217"/>
      <c r="Q24" s="217"/>
      <c r="R24" s="217"/>
      <c r="S24" s="52">
        <f>+IF(E37&gt;20000000,S23*0.25,(IF(E37&gt;10000000,S23*0.15,(IF(E37&gt;5000000,S23*0.1,0)))))</f>
        <v>0</v>
      </c>
    </row>
    <row r="25" spans="2:19" s="4" customFormat="1" ht="18.75" hidden="1" x14ac:dyDescent="0.3">
      <c r="B25" s="88"/>
      <c r="E25" s="89"/>
      <c r="G25" s="70"/>
      <c r="H25" s="71"/>
      <c r="I25" s="71"/>
      <c r="J25" s="71"/>
      <c r="K25" s="71"/>
      <c r="L25" s="72"/>
      <c r="N25" s="208"/>
      <c r="O25" s="209"/>
      <c r="P25" s="209"/>
      <c r="Q25" s="209"/>
      <c r="R25" s="210"/>
      <c r="S25" s="52">
        <f>+IF((S23+S24)&gt;(IF(E37&gt;20000000,E37-20000000+6417000,IF(E37&gt;10000000,E37-10000000+2838000,IF(E37&gt;5000000,E37-5000000+1080000,0)))),(IF(E37&gt;20000000,E37-20000000+6417000,IF(E37&gt;10000000,E37-10000000+2838000,IF(E37&gt;5000000,E37-5000000+1080000,0)))),0)</f>
        <v>0</v>
      </c>
    </row>
    <row r="26" spans="2:19" s="4" customFormat="1" ht="27.6" customHeight="1" thickBot="1" x14ac:dyDescent="0.35">
      <c r="B26" s="51" t="s">
        <v>95</v>
      </c>
      <c r="C26" s="40">
        <v>234</v>
      </c>
      <c r="D26" s="41">
        <f>+C26</f>
        <v>234</v>
      </c>
      <c r="E26" s="52" t="s">
        <v>13</v>
      </c>
      <c r="G26" s="213" t="s">
        <v>35</v>
      </c>
      <c r="H26" s="214"/>
      <c r="I26" s="214"/>
      <c r="J26" s="214"/>
      <c r="K26" s="215"/>
      <c r="L26" s="66">
        <f>+L24+L23</f>
        <v>394845.984</v>
      </c>
      <c r="N26" s="216" t="s">
        <v>60</v>
      </c>
      <c r="O26" s="217"/>
      <c r="P26" s="217"/>
      <c r="Q26" s="217"/>
      <c r="R26" s="217"/>
      <c r="S26" s="52">
        <f>+IF(S25&gt;0,S23+S24-S25,0)</f>
        <v>0</v>
      </c>
    </row>
    <row r="27" spans="2:19" s="4" customFormat="1" ht="27" customHeight="1" thickBot="1" x14ac:dyDescent="0.35">
      <c r="B27" s="51" t="s">
        <v>96</v>
      </c>
      <c r="C27" s="41"/>
      <c r="D27" s="40">
        <v>110000</v>
      </c>
      <c r="E27" s="55">
        <v>80000</v>
      </c>
      <c r="N27" s="216" t="s">
        <v>32</v>
      </c>
      <c r="O27" s="217"/>
      <c r="P27" s="217"/>
      <c r="Q27" s="217"/>
      <c r="R27" s="217"/>
      <c r="S27" s="52">
        <f>+S23+S24-S26</f>
        <v>296250</v>
      </c>
    </row>
    <row r="28" spans="2:19" s="4" customFormat="1" ht="27" customHeight="1" x14ac:dyDescent="0.3">
      <c r="B28" s="51" t="s">
        <v>97</v>
      </c>
      <c r="C28" s="40">
        <v>180000</v>
      </c>
      <c r="D28" s="41">
        <f>+IF(C28&gt;150000,150000,C28)</f>
        <v>150000</v>
      </c>
      <c r="E28" s="52" t="s">
        <v>13</v>
      </c>
      <c r="G28" s="236" t="str">
        <f>+IF(D41="NEW REGIME","NEW REGIME IS RECOMMENDED","OLD REGIME IS RECOMMENDED")</f>
        <v>NEW REGIME IS RECOMMENDED</v>
      </c>
      <c r="H28" s="237"/>
      <c r="I28" s="237"/>
      <c r="J28" s="237"/>
      <c r="K28" s="237"/>
      <c r="L28" s="238"/>
      <c r="N28" s="216" t="s">
        <v>15</v>
      </c>
      <c r="O28" s="217"/>
      <c r="P28" s="217"/>
      <c r="Q28" s="217"/>
      <c r="R28" s="217"/>
      <c r="S28" s="52">
        <f>+S27*0.04</f>
        <v>11850</v>
      </c>
    </row>
    <row r="29" spans="2:19" s="4" customFormat="1" ht="27" customHeight="1" thickBot="1" x14ac:dyDescent="0.35">
      <c r="B29" s="51" t="s">
        <v>98</v>
      </c>
      <c r="C29" s="40">
        <v>60000</v>
      </c>
      <c r="D29" s="41">
        <f>+IF(C29&gt;50000,50000,C29)</f>
        <v>50000</v>
      </c>
      <c r="E29" s="52" t="s">
        <v>13</v>
      </c>
      <c r="G29" s="239"/>
      <c r="H29" s="240"/>
      <c r="I29" s="240"/>
      <c r="J29" s="240"/>
      <c r="K29" s="240"/>
      <c r="L29" s="241"/>
      <c r="N29" s="213" t="s">
        <v>36</v>
      </c>
      <c r="O29" s="214"/>
      <c r="P29" s="214"/>
      <c r="Q29" s="214"/>
      <c r="R29" s="215"/>
      <c r="S29" s="66">
        <f>+S28+S27</f>
        <v>308100</v>
      </c>
    </row>
    <row r="30" spans="2:19" s="4" customFormat="1" ht="27" customHeight="1" x14ac:dyDescent="0.3">
      <c r="B30" s="51" t="s">
        <v>99</v>
      </c>
      <c r="C30" s="41"/>
      <c r="D30" s="40">
        <v>150000</v>
      </c>
      <c r="E30" s="55">
        <v>180000</v>
      </c>
      <c r="G30" s="239"/>
      <c r="H30" s="240"/>
      <c r="I30" s="240"/>
      <c r="J30" s="240"/>
      <c r="K30" s="240"/>
      <c r="L30" s="241"/>
    </row>
    <row r="31" spans="2:19" s="4" customFormat="1" ht="27" customHeight="1" thickBot="1" x14ac:dyDescent="0.35">
      <c r="B31" s="51" t="s">
        <v>100</v>
      </c>
      <c r="C31" s="40">
        <v>50000</v>
      </c>
      <c r="D31" s="41">
        <f>+IF(C6&lt;60,IF(C31&lt;25000,C31,25000),IF(C31&lt;50000,C31,50000))</f>
        <v>25000</v>
      </c>
      <c r="E31" s="52" t="s">
        <v>13</v>
      </c>
      <c r="G31" s="242"/>
      <c r="H31" s="243"/>
      <c r="I31" s="243"/>
      <c r="J31" s="243"/>
      <c r="K31" s="243"/>
      <c r="L31" s="244"/>
      <c r="N31" s="233" t="s">
        <v>16</v>
      </c>
      <c r="O31" s="234"/>
      <c r="P31" s="234"/>
      <c r="Q31" s="234"/>
      <c r="R31" s="234"/>
      <c r="S31" s="235"/>
    </row>
    <row r="32" spans="2:19" s="4" customFormat="1" ht="27" customHeight="1" thickBot="1" x14ac:dyDescent="0.35">
      <c r="B32" s="51" t="s">
        <v>101</v>
      </c>
      <c r="C32" s="40">
        <v>60000</v>
      </c>
      <c r="D32" s="41">
        <f>+IF(C8&lt;60,IF(C32&lt;25000,C32,25000),IF(C32&lt;50000,C32,50000))</f>
        <v>50000</v>
      </c>
      <c r="E32" s="52" t="s">
        <v>13</v>
      </c>
      <c r="N32" s="166" t="s">
        <v>92</v>
      </c>
      <c r="O32" s="167"/>
      <c r="P32" s="167"/>
      <c r="Q32" s="167"/>
      <c r="R32" s="167"/>
      <c r="S32" s="168"/>
    </row>
    <row r="33" spans="1:24" s="4" customFormat="1" ht="27" customHeight="1" x14ac:dyDescent="0.3">
      <c r="B33" s="51" t="s">
        <v>102</v>
      </c>
      <c r="C33" s="41"/>
      <c r="D33" s="41">
        <f>+IF(C16&gt;10000,10000,C16)</f>
        <v>10000</v>
      </c>
      <c r="E33" s="52" t="s">
        <v>13</v>
      </c>
      <c r="G33" s="155" t="s">
        <v>91</v>
      </c>
      <c r="H33" s="156"/>
      <c r="I33" s="156"/>
      <c r="J33" s="156"/>
      <c r="K33" s="156"/>
      <c r="L33" s="157"/>
      <c r="N33" s="166"/>
      <c r="O33" s="167"/>
      <c r="P33" s="167"/>
      <c r="Q33" s="167"/>
      <c r="R33" s="167"/>
      <c r="S33" s="168"/>
    </row>
    <row r="34" spans="1:24" s="4" customFormat="1" ht="27" customHeight="1" x14ac:dyDescent="0.3">
      <c r="B34" s="51" t="s">
        <v>103</v>
      </c>
      <c r="C34" s="41"/>
      <c r="D34" s="41">
        <f>+IF(C6&gt;=60,(IF(C17&gt;50000,50000,C17)),0)</f>
        <v>0</v>
      </c>
      <c r="E34" s="52" t="s">
        <v>13</v>
      </c>
      <c r="G34" s="158"/>
      <c r="H34" s="159"/>
      <c r="I34" s="159"/>
      <c r="J34" s="159"/>
      <c r="K34" s="159"/>
      <c r="L34" s="160"/>
      <c r="N34" s="166" t="s">
        <v>88</v>
      </c>
      <c r="O34" s="167"/>
      <c r="P34" s="167"/>
      <c r="Q34" s="167"/>
      <c r="R34" s="167"/>
      <c r="S34" s="168"/>
    </row>
    <row r="35" spans="1:24" s="4" customFormat="1" ht="27.6" customHeight="1" x14ac:dyDescent="0.3">
      <c r="B35" s="51" t="s">
        <v>104</v>
      </c>
      <c r="C35" s="41"/>
      <c r="D35" s="40">
        <v>0</v>
      </c>
      <c r="E35" s="55">
        <v>0</v>
      </c>
      <c r="G35" s="158"/>
      <c r="H35" s="159"/>
      <c r="I35" s="159"/>
      <c r="J35" s="159"/>
      <c r="K35" s="159"/>
      <c r="L35" s="160"/>
      <c r="M35" s="5"/>
      <c r="N35" s="166"/>
      <c r="O35" s="167"/>
      <c r="P35" s="167"/>
      <c r="Q35" s="167"/>
      <c r="R35" s="167"/>
      <c r="S35" s="168"/>
    </row>
    <row r="36" spans="1:24" s="4" customFormat="1" ht="27" customHeight="1" x14ac:dyDescent="0.3">
      <c r="A36" s="6"/>
      <c r="B36" s="87" t="s">
        <v>106</v>
      </c>
      <c r="C36" s="85"/>
      <c r="D36" s="85">
        <f>+D14+SUM(D23:D35)</f>
        <v>949468</v>
      </c>
      <c r="E36" s="65">
        <f>+E14+SUM(E23:E35)</f>
        <v>455000</v>
      </c>
      <c r="G36" s="158"/>
      <c r="H36" s="159"/>
      <c r="I36" s="159"/>
      <c r="J36" s="159"/>
      <c r="K36" s="159"/>
      <c r="L36" s="160"/>
      <c r="N36" s="166" t="s">
        <v>89</v>
      </c>
      <c r="O36" s="167"/>
      <c r="P36" s="167"/>
      <c r="Q36" s="167"/>
      <c r="R36" s="167"/>
      <c r="S36" s="168"/>
      <c r="T36" s="6"/>
      <c r="U36" s="6"/>
      <c r="V36" s="6"/>
      <c r="W36" s="6"/>
      <c r="X36" s="6"/>
    </row>
    <row r="37" spans="1:24" s="4" customFormat="1" ht="27.6" customHeight="1" thickBot="1" x14ac:dyDescent="0.35">
      <c r="A37" s="6"/>
      <c r="B37" s="163" t="s">
        <v>21</v>
      </c>
      <c r="C37" s="164"/>
      <c r="D37" s="43">
        <f>+IF((SUM(D15:D19)+D20-D23-SUM(D26:D35))&gt;0,SUM(D15:D19)+D20-D23-SUM(D26:D35),0)</f>
        <v>1890532</v>
      </c>
      <c r="E37" s="56">
        <f>+IF((SUM(E15:E19)+E20-E24-SUM(E26:E35))&gt;0,SUM(E15:E19)+E20-E24-SUM(E26:E35),0)</f>
        <v>2385000</v>
      </c>
      <c r="F37" s="6"/>
      <c r="G37" s="158"/>
      <c r="H37" s="159"/>
      <c r="I37" s="159"/>
      <c r="J37" s="159"/>
      <c r="K37" s="159"/>
      <c r="L37" s="160"/>
      <c r="M37" s="6"/>
      <c r="N37" s="145"/>
      <c r="O37" s="146"/>
      <c r="P37" s="146"/>
      <c r="Q37" s="146"/>
      <c r="R37" s="146"/>
      <c r="S37" s="147"/>
      <c r="T37" s="6"/>
      <c r="U37" s="6"/>
      <c r="V37" s="6"/>
      <c r="W37" s="6"/>
      <c r="X37" s="6"/>
    </row>
    <row r="38" spans="1:24" s="4" customFormat="1" ht="27.6" customHeight="1" x14ac:dyDescent="0.3">
      <c r="A38" s="6"/>
      <c r="B38" s="161" t="s">
        <v>22</v>
      </c>
      <c r="C38" s="162"/>
      <c r="D38" s="153">
        <f>+L26</f>
        <v>394845.984</v>
      </c>
      <c r="E38" s="154"/>
      <c r="F38" s="6"/>
      <c r="G38" s="169"/>
      <c r="H38" s="170"/>
      <c r="I38" s="170"/>
      <c r="J38" s="170"/>
      <c r="K38" s="170"/>
      <c r="L38" s="171"/>
      <c r="M38" s="6"/>
      <c r="N38" s="6"/>
      <c r="O38" s="6"/>
      <c r="P38" s="6"/>
      <c r="Q38" s="6"/>
      <c r="R38" s="6"/>
      <c r="S38" s="6"/>
      <c r="T38" s="6"/>
      <c r="U38" s="6"/>
      <c r="V38" s="6"/>
      <c r="W38" s="6"/>
      <c r="X38" s="6"/>
    </row>
    <row r="39" spans="1:24" s="4" customFormat="1" ht="27.6" customHeight="1" x14ac:dyDescent="0.4">
      <c r="A39" s="6"/>
      <c r="B39" s="161" t="s">
        <v>23</v>
      </c>
      <c r="C39" s="162"/>
      <c r="D39" s="153">
        <f>+S29</f>
        <v>308100</v>
      </c>
      <c r="E39" s="154"/>
      <c r="F39" s="6"/>
      <c r="G39" s="172"/>
      <c r="H39" s="173"/>
      <c r="I39" s="173"/>
      <c r="J39" s="173"/>
      <c r="K39" s="173"/>
      <c r="L39" s="174"/>
      <c r="M39" s="6"/>
      <c r="N39" s="165"/>
      <c r="O39" s="165"/>
      <c r="P39" s="165"/>
      <c r="Q39" s="165"/>
      <c r="R39" s="165"/>
      <c r="S39" s="165"/>
      <c r="T39" s="6"/>
      <c r="U39" s="6"/>
      <c r="V39" s="6"/>
      <c r="W39" s="6"/>
      <c r="X39" s="6"/>
    </row>
    <row r="40" spans="1:24" s="4" customFormat="1" ht="27.6" customHeight="1" x14ac:dyDescent="0.5">
      <c r="A40" s="6"/>
      <c r="B40" s="73" t="s">
        <v>84</v>
      </c>
      <c r="C40" s="74" t="str">
        <f>+IF(D38&gt;D39,"NEW REGIME","OLD REGIME")</f>
        <v>NEW REGIME</v>
      </c>
      <c r="D40" s="153">
        <f>ABS(+D38-D39)</f>
        <v>86745.983999999997</v>
      </c>
      <c r="E40" s="154"/>
      <c r="F40" s="6"/>
      <c r="G40" s="172"/>
      <c r="H40" s="173"/>
      <c r="I40" s="173"/>
      <c r="J40" s="173"/>
      <c r="K40" s="173"/>
      <c r="L40" s="174"/>
      <c r="M40" s="6"/>
      <c r="N40" s="148"/>
      <c r="O40" s="148"/>
      <c r="P40" s="148"/>
      <c r="Q40" s="148"/>
      <c r="R40" s="148"/>
      <c r="S40" s="148"/>
      <c r="T40" s="6"/>
      <c r="U40" s="6"/>
      <c r="V40" s="6"/>
      <c r="W40" s="6"/>
      <c r="X40" s="6"/>
    </row>
    <row r="41" spans="1:24" s="4" customFormat="1" ht="27.6" customHeight="1" thickBot="1" x14ac:dyDescent="0.55000000000000004">
      <c r="A41" s="6"/>
      <c r="B41" s="149" t="s">
        <v>14</v>
      </c>
      <c r="C41" s="150"/>
      <c r="D41" s="151" t="str">
        <f>+IF(D38&gt;D39,"NEW REGIME","OLD REGIME")</f>
        <v>NEW REGIME</v>
      </c>
      <c r="E41" s="152"/>
      <c r="F41" s="6"/>
      <c r="G41" s="175"/>
      <c r="H41" s="176"/>
      <c r="I41" s="176"/>
      <c r="J41" s="176"/>
      <c r="K41" s="176"/>
      <c r="L41" s="177"/>
      <c r="M41" s="6"/>
      <c r="N41" s="148"/>
      <c r="O41" s="148"/>
      <c r="P41" s="148"/>
      <c r="Q41" s="148"/>
      <c r="R41" s="148"/>
      <c r="S41" s="148"/>
      <c r="T41" s="6"/>
      <c r="U41" s="6"/>
      <c r="V41" s="6"/>
      <c r="W41" s="6"/>
      <c r="X41" s="6"/>
    </row>
    <row r="42" spans="1:24" s="4" customFormat="1" ht="13.5" customHeight="1" x14ac:dyDescent="0.3">
      <c r="A42" s="6"/>
      <c r="B42" s="6"/>
      <c r="C42" s="6"/>
      <c r="D42" s="6"/>
      <c r="E42" s="6"/>
      <c r="F42" s="6"/>
      <c r="G42" s="6"/>
      <c r="H42" s="6"/>
      <c r="I42" s="6"/>
      <c r="J42" s="6"/>
      <c r="K42" s="6"/>
      <c r="L42" s="6"/>
      <c r="M42" s="6"/>
      <c r="N42" s="6"/>
      <c r="O42" s="6"/>
      <c r="P42" s="6"/>
      <c r="Q42" s="6"/>
      <c r="R42" s="6"/>
      <c r="S42" s="6"/>
      <c r="T42" s="6"/>
      <c r="U42" s="6"/>
      <c r="V42" s="6"/>
      <c r="W42" s="6"/>
      <c r="X42" s="6"/>
    </row>
    <row r="43" spans="1:24" s="4" customFormat="1" ht="13.5" customHeight="1" x14ac:dyDescent="0.3">
      <c r="A43" s="6"/>
      <c r="B43" s="6"/>
      <c r="C43" s="6"/>
      <c r="D43" s="6"/>
      <c r="E43" s="6"/>
      <c r="F43" s="6"/>
      <c r="G43" s="6"/>
      <c r="H43" s="6"/>
      <c r="I43" s="6"/>
      <c r="J43" s="6"/>
      <c r="K43" s="6"/>
      <c r="L43" s="6"/>
      <c r="M43" s="6"/>
      <c r="N43" s="6"/>
      <c r="O43" s="6"/>
      <c r="P43" s="6"/>
      <c r="Q43" s="6"/>
      <c r="R43" s="6"/>
      <c r="S43" s="6"/>
      <c r="T43" s="6"/>
      <c r="U43" s="6"/>
      <c r="V43" s="6"/>
      <c r="W43" s="6"/>
      <c r="X43" s="6"/>
    </row>
    <row r="44" spans="1:24" s="4" customFormat="1" ht="13.5" customHeight="1" x14ac:dyDescent="0.3">
      <c r="A44" s="6"/>
      <c r="B44" s="6"/>
      <c r="C44" s="6"/>
      <c r="D44" s="6"/>
      <c r="E44" s="6"/>
      <c r="F44" s="6"/>
      <c r="G44" s="6"/>
      <c r="H44" s="6"/>
      <c r="I44" s="6"/>
      <c r="J44" s="6"/>
      <c r="K44" s="6"/>
      <c r="L44" s="6"/>
      <c r="M44" s="6"/>
      <c r="N44" s="6"/>
      <c r="O44" s="6"/>
      <c r="P44" s="6"/>
      <c r="Q44" s="6"/>
      <c r="R44" s="6"/>
      <c r="S44" s="6"/>
      <c r="T44" s="6"/>
      <c r="U44" s="6"/>
      <c r="V44" s="6"/>
      <c r="W44" s="6"/>
      <c r="X44" s="6"/>
    </row>
    <row r="45" spans="1:24" s="4" customFormat="1" ht="13.5" customHeight="1" x14ac:dyDescent="0.3">
      <c r="A45" s="6"/>
      <c r="B45" s="6"/>
      <c r="C45" s="6"/>
      <c r="D45" s="6"/>
      <c r="E45" s="6"/>
      <c r="F45" s="6"/>
      <c r="G45" s="6"/>
      <c r="H45" s="6"/>
      <c r="I45" s="6"/>
      <c r="J45" s="6"/>
      <c r="K45" s="6"/>
      <c r="L45" s="6"/>
      <c r="M45" s="6"/>
      <c r="N45" s="6"/>
      <c r="O45" s="6"/>
      <c r="P45" s="6"/>
      <c r="Q45" s="6"/>
      <c r="R45" s="6"/>
      <c r="S45" s="6"/>
      <c r="T45" s="6"/>
      <c r="U45" s="6"/>
      <c r="V45" s="6"/>
      <c r="W45" s="6"/>
      <c r="X45" s="6"/>
    </row>
    <row r="46" spans="1:24" s="4" customFormat="1" ht="13.5" customHeight="1" x14ac:dyDescent="0.3">
      <c r="A46" s="6"/>
      <c r="B46" s="6"/>
      <c r="C46" s="6"/>
      <c r="D46" s="6"/>
      <c r="E46" s="6"/>
      <c r="F46" s="6"/>
      <c r="G46" s="6"/>
      <c r="H46" s="6"/>
      <c r="I46" s="6"/>
      <c r="J46" s="6"/>
      <c r="K46" s="6"/>
      <c r="L46" s="6"/>
      <c r="M46" s="6"/>
      <c r="N46" s="6"/>
      <c r="O46" s="6"/>
      <c r="P46" s="6"/>
      <c r="Q46" s="6"/>
      <c r="R46" s="6"/>
      <c r="S46" s="6"/>
      <c r="T46" s="6"/>
      <c r="U46" s="6"/>
      <c r="V46" s="6"/>
      <c r="W46" s="6"/>
      <c r="X46" s="6"/>
    </row>
    <row r="47" spans="1:24" s="4" customFormat="1" ht="13.5" customHeight="1" x14ac:dyDescent="0.3">
      <c r="A47" s="6"/>
      <c r="B47" s="6"/>
      <c r="C47" s="6"/>
      <c r="D47" s="6"/>
      <c r="E47" s="6"/>
      <c r="F47" s="6"/>
      <c r="G47" s="6"/>
      <c r="H47" s="6"/>
      <c r="I47" s="6"/>
      <c r="J47" s="6"/>
      <c r="K47" s="6"/>
      <c r="L47" s="6"/>
      <c r="M47" s="6"/>
      <c r="N47" s="6"/>
      <c r="O47" s="6"/>
      <c r="P47" s="6"/>
      <c r="Q47" s="6"/>
      <c r="R47" s="6"/>
      <c r="S47" s="6"/>
      <c r="T47" s="6"/>
      <c r="U47" s="6"/>
      <c r="V47" s="6"/>
      <c r="W47" s="6"/>
      <c r="X47" s="6"/>
    </row>
    <row r="48" spans="1:24" s="4" customFormat="1" ht="13.5" customHeight="1" x14ac:dyDescent="0.3">
      <c r="A48" s="6"/>
      <c r="B48" s="6"/>
      <c r="C48" s="6"/>
      <c r="D48" s="6"/>
      <c r="E48" s="6"/>
      <c r="F48" s="6"/>
      <c r="G48" s="6"/>
      <c r="H48" s="6"/>
      <c r="I48" s="6"/>
      <c r="J48" s="6"/>
      <c r="K48" s="6"/>
      <c r="L48" s="6"/>
      <c r="M48" s="6"/>
      <c r="N48" s="6"/>
      <c r="O48" s="6"/>
      <c r="P48" s="6"/>
      <c r="Q48" s="6"/>
      <c r="R48" s="6"/>
      <c r="S48" s="6"/>
      <c r="T48" s="6"/>
      <c r="U48" s="6"/>
      <c r="V48" s="6"/>
      <c r="W48" s="6"/>
      <c r="X48" s="6"/>
    </row>
    <row r="49" spans="1:24" s="4" customFormat="1" ht="13.5" customHeight="1" x14ac:dyDescent="0.3">
      <c r="A49" s="6"/>
      <c r="B49" s="6"/>
      <c r="C49" s="6"/>
      <c r="D49" s="6"/>
      <c r="E49" s="6"/>
      <c r="F49" s="6"/>
      <c r="G49" s="6"/>
      <c r="H49" s="6"/>
      <c r="I49" s="6"/>
      <c r="J49" s="6"/>
      <c r="K49" s="6"/>
      <c r="L49" s="6"/>
      <c r="M49" s="6"/>
      <c r="N49" s="6"/>
      <c r="O49" s="6"/>
      <c r="P49" s="6"/>
      <c r="Q49" s="6"/>
      <c r="R49" s="6"/>
      <c r="S49" s="6"/>
      <c r="T49" s="6"/>
      <c r="U49" s="6"/>
      <c r="V49" s="6"/>
      <c r="W49" s="6"/>
      <c r="X49" s="6"/>
    </row>
    <row r="50" spans="1:24" s="4" customFormat="1" ht="13.5" customHeight="1" x14ac:dyDescent="0.3">
      <c r="A50" s="6"/>
      <c r="B50" s="6"/>
      <c r="C50" s="6"/>
      <c r="D50" s="6"/>
      <c r="E50" s="6"/>
      <c r="F50" s="6"/>
      <c r="G50" s="6"/>
      <c r="H50" s="6"/>
      <c r="I50" s="6"/>
      <c r="J50" s="6"/>
      <c r="K50" s="6"/>
      <c r="L50" s="6"/>
      <c r="M50" s="6"/>
      <c r="N50" s="6"/>
      <c r="O50" s="6"/>
      <c r="P50" s="6"/>
      <c r="Q50" s="6"/>
      <c r="R50" s="6"/>
      <c r="S50" s="6"/>
      <c r="T50" s="6"/>
      <c r="U50" s="6"/>
      <c r="V50" s="6"/>
      <c r="W50" s="6"/>
      <c r="X50" s="6"/>
    </row>
    <row r="51" spans="1:24" s="4" customFormat="1" ht="13.5" customHeight="1" x14ac:dyDescent="0.3">
      <c r="B51" s="6"/>
      <c r="C51" s="6"/>
      <c r="D51" s="6"/>
      <c r="E51" s="6"/>
      <c r="F51" s="6"/>
      <c r="G51" s="6"/>
      <c r="H51" s="6"/>
      <c r="I51" s="6"/>
      <c r="J51" s="6"/>
      <c r="K51" s="6"/>
      <c r="L51" s="6"/>
      <c r="M51" s="6"/>
      <c r="N51" s="6"/>
      <c r="O51" s="6"/>
      <c r="P51" s="6"/>
      <c r="Q51" s="6"/>
      <c r="R51" s="6"/>
      <c r="S51" s="6"/>
    </row>
    <row r="52" spans="1:24" s="4" customFormat="1" ht="13.5" customHeight="1" x14ac:dyDescent="0.3">
      <c r="B52" s="6"/>
      <c r="C52" s="6"/>
      <c r="D52" s="6"/>
      <c r="E52" s="6"/>
      <c r="G52" s="6"/>
      <c r="H52" s="6"/>
      <c r="I52" s="6"/>
      <c r="J52" s="6"/>
      <c r="K52" s="6"/>
      <c r="L52" s="6"/>
    </row>
    <row r="53" spans="1:24" s="4" customFormat="1" ht="13.5" customHeight="1" x14ac:dyDescent="0.3">
      <c r="B53" s="6"/>
      <c r="C53" s="6"/>
      <c r="D53" s="6"/>
      <c r="E53" s="6"/>
      <c r="G53" s="6"/>
      <c r="H53" s="6"/>
      <c r="I53" s="6"/>
      <c r="J53" s="6"/>
      <c r="K53" s="6"/>
      <c r="L53" s="6"/>
    </row>
    <row r="54" spans="1:24" s="4" customFormat="1" ht="13.5" customHeight="1" x14ac:dyDescent="0.3">
      <c r="B54" s="6"/>
      <c r="C54" s="6"/>
      <c r="D54" s="6"/>
      <c r="E54" s="6"/>
      <c r="G54" s="6"/>
      <c r="H54" s="6"/>
      <c r="I54" s="6"/>
      <c r="J54" s="6"/>
      <c r="K54" s="6"/>
      <c r="L54" s="6"/>
    </row>
    <row r="55" spans="1:24" s="4" customFormat="1" ht="13.5" customHeight="1" x14ac:dyDescent="0.3">
      <c r="B55" s="6"/>
      <c r="C55" s="6"/>
      <c r="D55" s="6"/>
      <c r="E55" s="6"/>
      <c r="I55" s="6"/>
    </row>
    <row r="56" spans="1:24" s="4" customFormat="1" ht="13.5" customHeight="1" x14ac:dyDescent="0.3">
      <c r="B56" s="6"/>
      <c r="C56" s="6"/>
      <c r="D56" s="6"/>
      <c r="E56" s="6"/>
      <c r="I56" s="6"/>
    </row>
    <row r="57" spans="1:24" s="4" customFormat="1" ht="13.5" customHeight="1" x14ac:dyDescent="0.3">
      <c r="B57" s="6"/>
      <c r="C57" s="6"/>
      <c r="D57" s="6"/>
      <c r="E57" s="6"/>
      <c r="I57" s="6"/>
    </row>
    <row r="58" spans="1:24" s="4" customFormat="1" ht="13.5" customHeight="1" x14ac:dyDescent="0.3">
      <c r="B58" s="6"/>
      <c r="C58" s="6"/>
      <c r="D58" s="6"/>
      <c r="E58" s="6"/>
      <c r="I58" s="6"/>
    </row>
    <row r="59" spans="1:24" s="4" customFormat="1" ht="13.5" customHeight="1" x14ac:dyDescent="0.3">
      <c r="B59" s="6"/>
      <c r="C59" s="6"/>
      <c r="D59" s="6"/>
      <c r="E59" s="6"/>
      <c r="I59" s="6"/>
    </row>
    <row r="60" spans="1:24" s="4" customFormat="1" ht="13.5" customHeight="1" x14ac:dyDescent="0.3">
      <c r="B60" s="6"/>
      <c r="C60" s="6"/>
      <c r="D60" s="6"/>
      <c r="E60" s="6"/>
      <c r="I60" s="6"/>
    </row>
    <row r="61" spans="1:24" s="4" customFormat="1" ht="13.5" customHeight="1" x14ac:dyDescent="0.3">
      <c r="I61" s="6"/>
    </row>
    <row r="62" spans="1:24" s="4" customFormat="1" ht="13.5" customHeight="1" x14ac:dyDescent="0.3">
      <c r="I62" s="6"/>
    </row>
    <row r="63" spans="1:24" s="4" customFormat="1" ht="13.5" customHeight="1" x14ac:dyDescent="0.3">
      <c r="I63" s="6"/>
    </row>
    <row r="64" spans="1:24" s="4" customFormat="1" ht="13.5" customHeight="1" x14ac:dyDescent="0.3">
      <c r="I64" s="6"/>
    </row>
    <row r="65" spans="9:9" s="4" customFormat="1" ht="13.5" customHeight="1" x14ac:dyDescent="0.3">
      <c r="I65" s="6"/>
    </row>
    <row r="66" spans="9:9" s="4" customFormat="1" ht="13.5" customHeight="1" x14ac:dyDescent="0.3">
      <c r="I66" s="6"/>
    </row>
    <row r="67" spans="9:9" s="4" customFormat="1" ht="13.5" customHeight="1" x14ac:dyDescent="0.3">
      <c r="I67" s="6"/>
    </row>
    <row r="68" spans="9:9" s="4" customFormat="1" ht="13.5" customHeight="1" x14ac:dyDescent="0.3">
      <c r="I68" s="6"/>
    </row>
    <row r="69" spans="9:9" s="4" customFormat="1" ht="13.5" customHeight="1" x14ac:dyDescent="0.3">
      <c r="I69" s="6"/>
    </row>
    <row r="70" spans="9:9" s="4" customFormat="1" ht="13.5" customHeight="1" x14ac:dyDescent="0.3">
      <c r="I70" s="6"/>
    </row>
    <row r="71" spans="9:9" s="4" customFormat="1" ht="13.5" customHeight="1" x14ac:dyDescent="0.3">
      <c r="I71" s="6"/>
    </row>
    <row r="72" spans="9:9" s="4" customFormat="1" ht="13.5" customHeight="1" x14ac:dyDescent="0.3">
      <c r="I72" s="6"/>
    </row>
    <row r="73" spans="9:9" s="4" customFormat="1" ht="13.5" customHeight="1" x14ac:dyDescent="0.3">
      <c r="I73" s="6"/>
    </row>
    <row r="74" spans="9:9" s="4" customFormat="1" ht="13.5" customHeight="1" x14ac:dyDescent="0.3">
      <c r="I74" s="6"/>
    </row>
    <row r="75" spans="9:9" s="4" customFormat="1" ht="13.5" customHeight="1" x14ac:dyDescent="0.3">
      <c r="I75" s="6"/>
    </row>
    <row r="76" spans="9:9" s="4" customFormat="1" ht="13.5" customHeight="1" x14ac:dyDescent="0.3">
      <c r="I76" s="6"/>
    </row>
    <row r="77" spans="9:9" s="4" customFormat="1" ht="13.5" customHeight="1" x14ac:dyDescent="0.3">
      <c r="I77" s="6"/>
    </row>
    <row r="78" spans="9:9" s="4" customFormat="1" ht="13.5" customHeight="1" x14ac:dyDescent="0.3">
      <c r="I78" s="6"/>
    </row>
    <row r="79" spans="9:9" s="4" customFormat="1" ht="13.5" customHeight="1" x14ac:dyDescent="0.3">
      <c r="I79" s="6"/>
    </row>
    <row r="80" spans="9:9" s="4" customFormat="1" ht="13.5" customHeight="1" x14ac:dyDescent="0.3">
      <c r="I80" s="6"/>
    </row>
    <row r="81" spans="9:9" s="4" customFormat="1" ht="13.5" customHeight="1" x14ac:dyDescent="0.3">
      <c r="I81" s="6"/>
    </row>
    <row r="82" spans="9:9" s="4" customFormat="1" ht="13.5" customHeight="1" x14ac:dyDescent="0.3">
      <c r="I82" s="6"/>
    </row>
    <row r="83" spans="9:9" s="4" customFormat="1" ht="13.5" customHeight="1" x14ac:dyDescent="0.3">
      <c r="I83" s="6"/>
    </row>
    <row r="84" spans="9:9" s="4" customFormat="1" ht="13.5" customHeight="1" x14ac:dyDescent="0.3">
      <c r="I84" s="6"/>
    </row>
    <row r="85" spans="9:9" s="4" customFormat="1" ht="13.5" customHeight="1" x14ac:dyDescent="0.3">
      <c r="I85" s="6"/>
    </row>
    <row r="86" spans="9:9" s="4" customFormat="1" ht="13.5" customHeight="1" x14ac:dyDescent="0.3">
      <c r="I86" s="6"/>
    </row>
    <row r="87" spans="9:9" s="4" customFormat="1" ht="13.5" customHeight="1" x14ac:dyDescent="0.3">
      <c r="I87" s="6"/>
    </row>
    <row r="88" spans="9:9" s="4" customFormat="1" ht="13.5" customHeight="1" x14ac:dyDescent="0.3">
      <c r="I88" s="6"/>
    </row>
    <row r="89" spans="9:9" s="4" customFormat="1" ht="13.5" customHeight="1" x14ac:dyDescent="0.3">
      <c r="I89" s="6"/>
    </row>
    <row r="90" spans="9:9" s="4" customFormat="1" ht="13.5" customHeight="1" x14ac:dyDescent="0.3">
      <c r="I90" s="6"/>
    </row>
    <row r="91" spans="9:9" s="4" customFormat="1" ht="13.5" customHeight="1" x14ac:dyDescent="0.3">
      <c r="I91" s="6"/>
    </row>
    <row r="92" spans="9:9" s="4" customFormat="1" ht="13.5" customHeight="1" x14ac:dyDescent="0.3">
      <c r="I92" s="6"/>
    </row>
    <row r="93" spans="9:9" s="4" customFormat="1" ht="13.5" customHeight="1" x14ac:dyDescent="0.3">
      <c r="I93" s="6"/>
    </row>
    <row r="94" spans="9:9" s="4" customFormat="1" ht="13.5" customHeight="1" x14ac:dyDescent="0.3">
      <c r="I94" s="6"/>
    </row>
    <row r="95" spans="9:9" s="4" customFormat="1" ht="13.5" customHeight="1" x14ac:dyDescent="0.3">
      <c r="I95" s="6"/>
    </row>
    <row r="96" spans="9:9" s="4" customFormat="1" ht="13.5" customHeight="1" x14ac:dyDescent="0.3">
      <c r="I96" s="6"/>
    </row>
    <row r="97" spans="2:19" s="4" customFormat="1" ht="13.5" customHeight="1" x14ac:dyDescent="0.3">
      <c r="I97" s="6"/>
    </row>
    <row r="98" spans="2:19" s="4" customFormat="1" ht="13.5" customHeight="1" x14ac:dyDescent="0.3">
      <c r="I98" s="6"/>
    </row>
    <row r="99" spans="2:19" s="4" customFormat="1" ht="13.5" customHeight="1" x14ac:dyDescent="0.3">
      <c r="I99" s="6"/>
    </row>
    <row r="100" spans="2:19" s="4" customFormat="1" ht="13.5" customHeight="1" x14ac:dyDescent="0.3">
      <c r="I100" s="6"/>
    </row>
    <row r="101" spans="2:19" s="4" customFormat="1" ht="13.5" customHeight="1" x14ac:dyDescent="0.3">
      <c r="I101" s="6"/>
    </row>
    <row r="102" spans="2:19" s="4" customFormat="1" ht="13.5" customHeight="1" x14ac:dyDescent="0.3">
      <c r="I102" s="6"/>
    </row>
    <row r="103" spans="2:19" s="4" customFormat="1" ht="13.5" customHeight="1" x14ac:dyDescent="0.3">
      <c r="I103" s="6"/>
    </row>
    <row r="104" spans="2:19" ht="13.5" customHeight="1" x14ac:dyDescent="0.3">
      <c r="B104" s="4"/>
      <c r="C104" s="4"/>
      <c r="D104" s="4"/>
      <c r="E104" s="4"/>
      <c r="F104" s="4"/>
      <c r="G104" s="4"/>
      <c r="H104" s="4"/>
      <c r="I104" s="6"/>
      <c r="J104" s="4"/>
      <c r="K104" s="4"/>
      <c r="L104" s="4"/>
      <c r="M104" s="4"/>
      <c r="N104" s="4"/>
      <c r="O104" s="4"/>
      <c r="P104" s="4"/>
      <c r="Q104" s="4"/>
      <c r="R104" s="4"/>
      <c r="S104" s="4"/>
    </row>
    <row r="105" spans="2:19" ht="13.5" customHeight="1" x14ac:dyDescent="0.3">
      <c r="B105" s="4"/>
      <c r="C105" s="4"/>
      <c r="D105" s="4"/>
      <c r="E105" s="4"/>
      <c r="G105" s="4"/>
      <c r="H105" s="4"/>
      <c r="I105" s="6"/>
      <c r="J105" s="4"/>
      <c r="K105" s="4"/>
      <c r="L105" s="4"/>
      <c r="N105" s="4"/>
      <c r="O105" s="4"/>
      <c r="P105" s="4"/>
      <c r="Q105" s="4"/>
      <c r="R105" s="4"/>
      <c r="S105" s="4"/>
    </row>
    <row r="106" spans="2:19" ht="13.5" customHeight="1" x14ac:dyDescent="0.3">
      <c r="B106" s="4"/>
      <c r="C106" s="4"/>
      <c r="D106" s="4"/>
      <c r="E106" s="4"/>
      <c r="G106" s="4"/>
      <c r="H106" s="4"/>
      <c r="I106" s="6"/>
      <c r="J106" s="4"/>
      <c r="K106" s="4"/>
      <c r="L106" s="4"/>
    </row>
    <row r="107" spans="2:19" ht="13.5" customHeight="1" x14ac:dyDescent="0.3">
      <c r="B107" s="4"/>
      <c r="C107" s="4"/>
      <c r="D107" s="4"/>
      <c r="E107" s="4"/>
      <c r="G107" s="4"/>
      <c r="H107" s="4"/>
      <c r="I107" s="6"/>
      <c r="J107" s="4"/>
      <c r="K107" s="4"/>
      <c r="L107" s="4"/>
    </row>
    <row r="108" spans="2:19" ht="13.5" customHeight="1" x14ac:dyDescent="0.3">
      <c r="B108" s="4"/>
      <c r="C108" s="4"/>
      <c r="D108" s="4"/>
      <c r="E108" s="4"/>
      <c r="G108" s="3"/>
      <c r="H108" s="3"/>
      <c r="I108" s="2"/>
      <c r="J108" s="3"/>
      <c r="K108" s="3"/>
    </row>
    <row r="109" spans="2:19" ht="13.5" customHeight="1" x14ac:dyDescent="0.3">
      <c r="B109" s="4"/>
      <c r="C109" s="4"/>
      <c r="D109" s="4"/>
      <c r="E109" s="4"/>
      <c r="G109" s="3"/>
      <c r="H109" s="3"/>
      <c r="I109" s="2"/>
      <c r="J109" s="3"/>
      <c r="K109" s="3"/>
    </row>
    <row r="110" spans="2:19" ht="13.5" customHeight="1" x14ac:dyDescent="0.3">
      <c r="B110" s="4"/>
      <c r="C110" s="4"/>
      <c r="D110" s="4"/>
      <c r="E110" s="4"/>
      <c r="G110" s="3"/>
      <c r="H110" s="3"/>
      <c r="I110" s="2"/>
      <c r="J110" s="3"/>
      <c r="K110" s="3"/>
    </row>
    <row r="111" spans="2:19" ht="13.5" customHeight="1" x14ac:dyDescent="0.3">
      <c r="B111" s="4"/>
      <c r="C111" s="4"/>
      <c r="D111" s="4"/>
      <c r="E111" s="4"/>
      <c r="G111" s="3"/>
      <c r="H111" s="3"/>
      <c r="I111" s="2"/>
      <c r="J111" s="3"/>
      <c r="K111" s="3"/>
    </row>
    <row r="112" spans="2:19" ht="13.5" customHeight="1" x14ac:dyDescent="0.3">
      <c r="B112" s="4"/>
      <c r="C112" s="4"/>
      <c r="D112" s="4"/>
      <c r="E112" s="4"/>
      <c r="G112" s="3"/>
      <c r="H112" s="3"/>
      <c r="I112" s="2"/>
      <c r="J112" s="3"/>
      <c r="K112" s="3"/>
    </row>
    <row r="113" spans="2:11" ht="13.5" customHeight="1" x14ac:dyDescent="0.3">
      <c r="B113" s="4"/>
      <c r="C113" s="4"/>
      <c r="D113" s="4"/>
      <c r="E113" s="4"/>
      <c r="G113" s="3"/>
      <c r="H113" s="3"/>
      <c r="I113" s="2"/>
      <c r="J113" s="3"/>
      <c r="K113" s="3"/>
    </row>
    <row r="114" spans="2:11" ht="13.5" customHeight="1" x14ac:dyDescent="0.3">
      <c r="B114" s="4"/>
      <c r="C114" s="4"/>
      <c r="D114" s="4"/>
      <c r="E114" s="4"/>
      <c r="G114" s="3"/>
      <c r="H114" s="3"/>
      <c r="I114" s="2"/>
      <c r="J114" s="3"/>
      <c r="K114" s="3"/>
    </row>
    <row r="115" spans="2:11" ht="13.5" customHeight="1" x14ac:dyDescent="0.3">
      <c r="B115" s="4"/>
      <c r="C115" s="4"/>
      <c r="D115" s="4"/>
      <c r="E115" s="4"/>
      <c r="G115" s="3"/>
      <c r="H115" s="3"/>
      <c r="I115" s="2"/>
      <c r="J115" s="3"/>
      <c r="K115" s="3"/>
    </row>
    <row r="116" spans="2:11" ht="13.5" customHeight="1" x14ac:dyDescent="0.25">
      <c r="G116" s="3"/>
      <c r="H116" s="3"/>
      <c r="I116" s="2"/>
      <c r="J116" s="3"/>
      <c r="K116" s="3"/>
    </row>
    <row r="117" spans="2:11" ht="13.5" customHeight="1" x14ac:dyDescent="0.25">
      <c r="G117" s="3"/>
      <c r="H117" s="3"/>
      <c r="I117" s="2"/>
      <c r="J117" s="3"/>
      <c r="K117" s="3"/>
    </row>
    <row r="118" spans="2:11" ht="13.5" customHeight="1" x14ac:dyDescent="0.25">
      <c r="G118" s="3"/>
      <c r="H118" s="3"/>
      <c r="I118" s="2"/>
      <c r="J118" s="3"/>
      <c r="K118" s="3"/>
    </row>
    <row r="119" spans="2:11" ht="13.5" customHeight="1" x14ac:dyDescent="0.25">
      <c r="G119" s="3"/>
      <c r="H119" s="3"/>
      <c r="I119" s="2"/>
      <c r="J119" s="3"/>
      <c r="K119" s="3"/>
    </row>
    <row r="120" spans="2:11" ht="13.5" customHeight="1" x14ac:dyDescent="0.25">
      <c r="G120" s="3"/>
      <c r="H120" s="3"/>
      <c r="I120" s="2"/>
      <c r="J120" s="3"/>
      <c r="K120" s="3"/>
    </row>
    <row r="121" spans="2:11" ht="13.5" customHeight="1" x14ac:dyDescent="0.25">
      <c r="G121" s="3"/>
      <c r="H121" s="3"/>
      <c r="I121" s="2"/>
      <c r="J121" s="3"/>
      <c r="K121" s="3"/>
    </row>
    <row r="122" spans="2:11" ht="13.5" customHeight="1" x14ac:dyDescent="0.25">
      <c r="G122" s="3"/>
      <c r="H122" s="3"/>
      <c r="I122" s="2"/>
      <c r="J122" s="3"/>
      <c r="K122" s="3"/>
    </row>
    <row r="123" spans="2:11" ht="13.5" customHeight="1" x14ac:dyDescent="0.25">
      <c r="G123" s="3"/>
      <c r="H123" s="3"/>
      <c r="I123" s="2"/>
      <c r="J123" s="3"/>
      <c r="K123" s="3"/>
    </row>
    <row r="124" spans="2:11" ht="13.5" customHeight="1" x14ac:dyDescent="0.25">
      <c r="G124" s="3"/>
      <c r="H124" s="3"/>
      <c r="I124" s="2"/>
      <c r="J124" s="3"/>
      <c r="K124" s="3"/>
    </row>
    <row r="125" spans="2:11" ht="13.5" customHeight="1" x14ac:dyDescent="0.25">
      <c r="G125" s="3"/>
      <c r="H125" s="3"/>
      <c r="I125" s="2"/>
      <c r="J125" s="3"/>
      <c r="K125" s="3"/>
    </row>
    <row r="126" spans="2:11" ht="13.5" customHeight="1" x14ac:dyDescent="0.25">
      <c r="G126" s="3"/>
      <c r="H126" s="3"/>
      <c r="I126" s="2"/>
      <c r="J126" s="3"/>
      <c r="K126" s="3"/>
    </row>
    <row r="127" spans="2:11" ht="13.5" customHeight="1" x14ac:dyDescent="0.25">
      <c r="G127" s="3"/>
      <c r="H127" s="3"/>
      <c r="I127" s="2"/>
      <c r="J127" s="3"/>
      <c r="K127" s="3"/>
    </row>
    <row r="128" spans="2:11" ht="13.5" customHeight="1" x14ac:dyDescent="0.25">
      <c r="G128" s="3"/>
      <c r="H128" s="3"/>
      <c r="I128" s="2"/>
      <c r="J128" s="3"/>
      <c r="K128" s="3"/>
    </row>
    <row r="129" spans="7:11" ht="13.5" customHeight="1" x14ac:dyDescent="0.25">
      <c r="G129" s="3"/>
      <c r="H129" s="3"/>
      <c r="I129" s="2"/>
      <c r="J129" s="3"/>
      <c r="K129" s="3"/>
    </row>
    <row r="130" spans="7:11" ht="13.5" customHeight="1" x14ac:dyDescent="0.25">
      <c r="G130" s="3"/>
      <c r="H130" s="3"/>
      <c r="I130" s="2"/>
      <c r="J130" s="3"/>
      <c r="K130" s="3"/>
    </row>
    <row r="131" spans="7:11" ht="13.5" customHeight="1" x14ac:dyDescent="0.25">
      <c r="G131" s="3"/>
      <c r="H131" s="3"/>
      <c r="I131" s="2"/>
      <c r="J131" s="3"/>
      <c r="K131" s="3"/>
    </row>
    <row r="132" spans="7:11" ht="13.5" customHeight="1" x14ac:dyDescent="0.25">
      <c r="G132" s="3"/>
      <c r="H132" s="3"/>
      <c r="I132" s="2"/>
      <c r="J132" s="3"/>
      <c r="K132" s="3"/>
    </row>
    <row r="133" spans="7:11" ht="13.5" customHeight="1" x14ac:dyDescent="0.25">
      <c r="G133" s="3"/>
      <c r="H133" s="3"/>
      <c r="I133" s="2"/>
      <c r="J133" s="3"/>
      <c r="K133" s="3"/>
    </row>
    <row r="134" spans="7:11" ht="13.5" customHeight="1" x14ac:dyDescent="0.25">
      <c r="G134" s="3"/>
      <c r="H134" s="3"/>
      <c r="I134" s="2"/>
      <c r="J134" s="3"/>
      <c r="K134" s="3"/>
    </row>
    <row r="135" spans="7:11" ht="13.5" customHeight="1" x14ac:dyDescent="0.25">
      <c r="G135" s="3"/>
      <c r="H135" s="3"/>
      <c r="I135" s="2"/>
      <c r="J135" s="3"/>
      <c r="K135" s="3"/>
    </row>
    <row r="136" spans="7:11" ht="13.5" customHeight="1" x14ac:dyDescent="0.25">
      <c r="G136" s="3"/>
      <c r="H136" s="3"/>
      <c r="I136" s="2"/>
      <c r="J136" s="3"/>
      <c r="K136" s="3"/>
    </row>
    <row r="137" spans="7:11" ht="13.5" customHeight="1" x14ac:dyDescent="0.25">
      <c r="G137" s="3"/>
      <c r="H137" s="3"/>
      <c r="I137" s="2"/>
      <c r="J137" s="3"/>
      <c r="K137" s="3"/>
    </row>
    <row r="138" spans="7:11" ht="13.5" customHeight="1" x14ac:dyDescent="0.25">
      <c r="G138" s="3"/>
      <c r="H138" s="3"/>
      <c r="I138" s="2"/>
      <c r="J138" s="3"/>
      <c r="K138" s="3"/>
    </row>
    <row r="139" spans="7:11" ht="13.5" customHeight="1" x14ac:dyDescent="0.25">
      <c r="G139" s="3"/>
      <c r="H139" s="3"/>
      <c r="I139" s="2"/>
      <c r="J139" s="3"/>
      <c r="K139" s="3"/>
    </row>
    <row r="140" spans="7:11" ht="13.5" customHeight="1" x14ac:dyDescent="0.25">
      <c r="G140" s="3"/>
      <c r="H140" s="3"/>
      <c r="I140" s="2"/>
      <c r="J140" s="3"/>
      <c r="K140" s="3"/>
    </row>
    <row r="141" spans="7:11" ht="13.5" customHeight="1" x14ac:dyDescent="0.25">
      <c r="G141" s="3"/>
      <c r="H141" s="3"/>
      <c r="I141" s="2"/>
      <c r="J141" s="3"/>
      <c r="K141" s="3"/>
    </row>
    <row r="142" spans="7:11" ht="13.5" customHeight="1" x14ac:dyDescent="0.25">
      <c r="G142" s="3"/>
      <c r="H142" s="3"/>
      <c r="I142" s="2"/>
      <c r="J142" s="3"/>
      <c r="K142" s="3"/>
    </row>
    <row r="143" spans="7:11" ht="13.5" customHeight="1" x14ac:dyDescent="0.25">
      <c r="G143" s="3"/>
      <c r="H143" s="3"/>
      <c r="I143" s="2"/>
      <c r="J143" s="3"/>
      <c r="K143" s="3"/>
    </row>
    <row r="144" spans="7:11" ht="13.5" customHeight="1" x14ac:dyDescent="0.25">
      <c r="G144" s="3"/>
      <c r="H144" s="3"/>
      <c r="I144" s="2"/>
      <c r="J144" s="3"/>
      <c r="K144" s="3"/>
    </row>
    <row r="145" spans="7:11" ht="13.5" customHeight="1" x14ac:dyDescent="0.25">
      <c r="G145" s="3"/>
      <c r="H145" s="3"/>
      <c r="I145" s="2"/>
      <c r="J145" s="3"/>
      <c r="K145" s="3"/>
    </row>
    <row r="146" spans="7:11" ht="13.5" customHeight="1" x14ac:dyDescent="0.25">
      <c r="G146" s="3"/>
      <c r="H146" s="3"/>
      <c r="I146" s="2"/>
      <c r="J146" s="3"/>
      <c r="K146" s="3"/>
    </row>
    <row r="147" spans="7:11" ht="13.5" customHeight="1" x14ac:dyDescent="0.25">
      <c r="G147" s="3"/>
      <c r="H147" s="3"/>
      <c r="I147" s="2"/>
      <c r="J147" s="3"/>
      <c r="K147" s="3"/>
    </row>
    <row r="148" spans="7:11" ht="13.5" customHeight="1" x14ac:dyDescent="0.25">
      <c r="G148" s="3"/>
      <c r="H148" s="3"/>
      <c r="I148" s="2"/>
      <c r="J148" s="3"/>
      <c r="K148" s="3"/>
    </row>
    <row r="149" spans="7:11" ht="13.5" customHeight="1" x14ac:dyDescent="0.25">
      <c r="G149" s="3"/>
      <c r="H149" s="3"/>
      <c r="I149" s="2"/>
      <c r="J149" s="3"/>
      <c r="K149" s="3"/>
    </row>
    <row r="150" spans="7:11" ht="13.5" customHeight="1" x14ac:dyDescent="0.25">
      <c r="G150" s="3"/>
      <c r="H150" s="3"/>
      <c r="I150" s="2"/>
      <c r="J150" s="3"/>
      <c r="K150" s="3"/>
    </row>
    <row r="151" spans="7:11" ht="13.5" customHeight="1" x14ac:dyDescent="0.25">
      <c r="G151" s="3"/>
      <c r="H151" s="3"/>
      <c r="I151" s="2"/>
      <c r="J151" s="3"/>
      <c r="K151" s="3"/>
    </row>
    <row r="152" spans="7:11" ht="13.5" customHeight="1" x14ac:dyDescent="0.25">
      <c r="G152" s="3"/>
      <c r="H152" s="3"/>
      <c r="I152" s="2"/>
      <c r="J152" s="3"/>
      <c r="K152" s="3"/>
    </row>
    <row r="153" spans="7:11" ht="13.5" customHeight="1" x14ac:dyDescent="0.25">
      <c r="G153" s="3"/>
      <c r="H153" s="3"/>
      <c r="I153" s="2"/>
      <c r="J153" s="3"/>
      <c r="K153" s="3"/>
    </row>
    <row r="154" spans="7:11" ht="13.5" customHeight="1" x14ac:dyDescent="0.25">
      <c r="G154" s="3"/>
      <c r="H154" s="3"/>
      <c r="I154" s="2"/>
      <c r="J154" s="3"/>
      <c r="K154" s="3"/>
    </row>
    <row r="155" spans="7:11" ht="13.5" customHeight="1" x14ac:dyDescent="0.25">
      <c r="G155" s="3"/>
      <c r="H155" s="3"/>
      <c r="I155" s="2"/>
      <c r="J155" s="3"/>
      <c r="K155" s="3"/>
    </row>
    <row r="156" spans="7:11" ht="13.5" customHeight="1" x14ac:dyDescent="0.25">
      <c r="G156" s="3"/>
      <c r="H156" s="3"/>
      <c r="I156" s="2"/>
      <c r="J156" s="3"/>
      <c r="K156" s="3"/>
    </row>
    <row r="157" spans="7:11" ht="13.5" customHeight="1" x14ac:dyDescent="0.25">
      <c r="G157" s="3"/>
      <c r="H157" s="3"/>
      <c r="I157" s="2"/>
      <c r="J157" s="3"/>
      <c r="K157" s="3"/>
    </row>
    <row r="158" spans="7:11" ht="13.5" customHeight="1" x14ac:dyDescent="0.25">
      <c r="G158" s="3"/>
      <c r="H158" s="3"/>
      <c r="I158" s="2"/>
      <c r="J158" s="3"/>
      <c r="K158" s="3"/>
    </row>
    <row r="159" spans="7:11" ht="13.5" customHeight="1" x14ac:dyDescent="0.25">
      <c r="G159" s="3"/>
      <c r="H159" s="3"/>
      <c r="I159" s="2"/>
      <c r="J159" s="3"/>
      <c r="K159" s="3"/>
    </row>
    <row r="160" spans="7:11" ht="13.5" customHeight="1" x14ac:dyDescent="0.25">
      <c r="G160" s="3"/>
      <c r="H160" s="3"/>
      <c r="I160" s="2"/>
      <c r="J160" s="3"/>
      <c r="K160" s="3"/>
    </row>
    <row r="161" spans="7:11" ht="13.5" customHeight="1" x14ac:dyDescent="0.25">
      <c r="G161" s="3"/>
      <c r="H161" s="3"/>
      <c r="I161" s="2"/>
      <c r="J161" s="3"/>
      <c r="K161" s="3"/>
    </row>
    <row r="162" spans="7:11" ht="13.5" customHeight="1" x14ac:dyDescent="0.25">
      <c r="G162" s="3"/>
      <c r="H162" s="3"/>
      <c r="I162" s="2"/>
      <c r="J162" s="3"/>
      <c r="K162" s="3"/>
    </row>
    <row r="163" spans="7:11" ht="13.5" customHeight="1" x14ac:dyDescent="0.25">
      <c r="G163" s="3"/>
      <c r="H163" s="3"/>
      <c r="I163" s="2"/>
      <c r="J163" s="3"/>
      <c r="K163" s="3"/>
    </row>
    <row r="164" spans="7:11" ht="13.5" customHeight="1" x14ac:dyDescent="0.25">
      <c r="G164" s="3"/>
      <c r="H164" s="3"/>
      <c r="I164" s="2"/>
      <c r="J164" s="3"/>
      <c r="K164" s="3"/>
    </row>
    <row r="165" spans="7:11" ht="13.5" customHeight="1" x14ac:dyDescent="0.25">
      <c r="G165" s="3"/>
      <c r="H165" s="3"/>
      <c r="I165" s="2"/>
      <c r="J165" s="3"/>
      <c r="K165" s="3"/>
    </row>
    <row r="166" spans="7:11" ht="13.5" customHeight="1" x14ac:dyDescent="0.25">
      <c r="G166" s="3"/>
      <c r="H166" s="3"/>
      <c r="I166" s="2"/>
      <c r="J166" s="3"/>
      <c r="K166" s="3"/>
    </row>
    <row r="167" spans="7:11" ht="13.5" customHeight="1" x14ac:dyDescent="0.25">
      <c r="G167" s="3"/>
      <c r="H167" s="3"/>
      <c r="I167" s="2"/>
      <c r="J167" s="3"/>
      <c r="K167" s="3"/>
    </row>
    <row r="168" spans="7:11" ht="13.5" customHeight="1" x14ac:dyDescent="0.25">
      <c r="G168" s="3"/>
      <c r="H168" s="3"/>
      <c r="I168" s="2"/>
      <c r="J168" s="3"/>
      <c r="K168" s="3"/>
    </row>
    <row r="169" spans="7:11" ht="13.5" customHeight="1" x14ac:dyDescent="0.25">
      <c r="G169" s="3"/>
      <c r="H169" s="3"/>
      <c r="I169" s="2"/>
      <c r="J169" s="3"/>
      <c r="K169" s="3"/>
    </row>
    <row r="170" spans="7:11" ht="13.5" customHeight="1" x14ac:dyDescent="0.25">
      <c r="G170" s="3"/>
      <c r="H170" s="3"/>
      <c r="I170" s="2"/>
      <c r="J170" s="3"/>
      <c r="K170" s="3"/>
    </row>
    <row r="171" spans="7:11" ht="13.5" customHeight="1" x14ac:dyDescent="0.25">
      <c r="G171" s="3"/>
      <c r="H171" s="3"/>
      <c r="I171" s="2"/>
      <c r="J171" s="3"/>
      <c r="K171" s="3"/>
    </row>
    <row r="172" spans="7:11" ht="13.5" customHeight="1" x14ac:dyDescent="0.25">
      <c r="G172" s="3"/>
      <c r="H172" s="3"/>
      <c r="I172" s="2"/>
      <c r="J172" s="3"/>
      <c r="K172" s="3"/>
    </row>
    <row r="173" spans="7:11" ht="13.5" customHeight="1" x14ac:dyDescent="0.25">
      <c r="G173" s="3"/>
      <c r="H173" s="3"/>
      <c r="I173" s="2"/>
      <c r="J173" s="3"/>
      <c r="K173" s="3"/>
    </row>
    <row r="174" spans="7:11" ht="13.5" customHeight="1" x14ac:dyDescent="0.25">
      <c r="G174" s="3"/>
      <c r="H174" s="3"/>
      <c r="I174" s="2"/>
      <c r="J174" s="3"/>
      <c r="K174" s="3"/>
    </row>
    <row r="175" spans="7:11" ht="13.5" customHeight="1" x14ac:dyDescent="0.25">
      <c r="G175" s="3"/>
      <c r="H175" s="3"/>
      <c r="I175" s="2"/>
      <c r="J175" s="3"/>
      <c r="K175" s="3"/>
    </row>
    <row r="176" spans="7:11" ht="13.5" customHeight="1" x14ac:dyDescent="0.25">
      <c r="G176" s="3"/>
      <c r="H176" s="3"/>
      <c r="I176" s="2"/>
      <c r="J176" s="3"/>
      <c r="K176" s="3"/>
    </row>
    <row r="177" spans="7:11" ht="13.5" customHeight="1" x14ac:dyDescent="0.25">
      <c r="G177" s="3"/>
      <c r="H177" s="3"/>
      <c r="I177" s="2"/>
      <c r="J177" s="3"/>
      <c r="K177" s="3"/>
    </row>
    <row r="178" spans="7:11" ht="13.5" customHeight="1" x14ac:dyDescent="0.25">
      <c r="G178" s="3"/>
      <c r="H178" s="3"/>
      <c r="I178" s="2"/>
      <c r="J178" s="3"/>
      <c r="K178" s="3"/>
    </row>
    <row r="179" spans="7:11" ht="13.5" customHeight="1" x14ac:dyDescent="0.25">
      <c r="G179" s="3"/>
      <c r="H179" s="3"/>
      <c r="I179" s="2"/>
      <c r="J179" s="3"/>
      <c r="K179" s="3"/>
    </row>
    <row r="180" spans="7:11" ht="13.5" customHeight="1" x14ac:dyDescent="0.25">
      <c r="G180" s="3"/>
      <c r="H180" s="3"/>
      <c r="I180" s="2"/>
      <c r="J180" s="3"/>
      <c r="K180" s="3"/>
    </row>
    <row r="181" spans="7:11" ht="13.5" customHeight="1" x14ac:dyDescent="0.25">
      <c r="G181" s="3"/>
      <c r="H181" s="3"/>
      <c r="I181" s="2"/>
      <c r="J181" s="3"/>
      <c r="K181" s="3"/>
    </row>
    <row r="182" spans="7:11" ht="13.5" customHeight="1" x14ac:dyDescent="0.25">
      <c r="G182" s="3"/>
      <c r="H182" s="3"/>
      <c r="I182" s="2"/>
      <c r="J182" s="3"/>
      <c r="K182" s="3"/>
    </row>
    <row r="183" spans="7:11" ht="13.5" customHeight="1" x14ac:dyDescent="0.25">
      <c r="G183" s="3"/>
      <c r="H183" s="3"/>
      <c r="I183" s="2"/>
      <c r="J183" s="3"/>
      <c r="K183" s="3"/>
    </row>
    <row r="184" spans="7:11" ht="13.5" customHeight="1" x14ac:dyDescent="0.25">
      <c r="G184" s="3"/>
      <c r="H184" s="3"/>
      <c r="I184" s="2"/>
      <c r="J184" s="3"/>
      <c r="K184" s="3"/>
    </row>
    <row r="185" spans="7:11" ht="13.5" customHeight="1" x14ac:dyDescent="0.25">
      <c r="G185" s="3"/>
      <c r="H185" s="3"/>
      <c r="I185" s="2"/>
      <c r="J185" s="3"/>
      <c r="K185" s="3"/>
    </row>
    <row r="186" spans="7:11" ht="13.5" customHeight="1" x14ac:dyDescent="0.25">
      <c r="G186" s="3"/>
      <c r="H186" s="3"/>
      <c r="I186" s="2"/>
      <c r="J186" s="3"/>
      <c r="K186" s="3"/>
    </row>
    <row r="187" spans="7:11" ht="13.5" customHeight="1" x14ac:dyDescent="0.25">
      <c r="G187" s="3"/>
      <c r="H187" s="3"/>
      <c r="I187" s="2"/>
      <c r="J187" s="3"/>
      <c r="K187" s="3"/>
    </row>
    <row r="188" spans="7:11" ht="13.5" customHeight="1" x14ac:dyDescent="0.25">
      <c r="G188" s="3"/>
      <c r="H188" s="3"/>
      <c r="I188" s="2"/>
      <c r="J188" s="3"/>
      <c r="K188" s="3"/>
    </row>
    <row r="189" spans="7:11" ht="13.5" customHeight="1" x14ac:dyDescent="0.25">
      <c r="G189" s="3"/>
      <c r="H189" s="3"/>
      <c r="I189" s="2"/>
      <c r="J189" s="3"/>
      <c r="K189" s="3"/>
    </row>
    <row r="190" spans="7:11" ht="13.5" customHeight="1" x14ac:dyDescent="0.25">
      <c r="G190" s="3"/>
      <c r="H190" s="3"/>
      <c r="I190" s="2"/>
      <c r="J190" s="3"/>
      <c r="K190" s="3"/>
    </row>
    <row r="191" spans="7:11" ht="13.5" customHeight="1" x14ac:dyDescent="0.25">
      <c r="G191" s="3"/>
      <c r="H191" s="3"/>
      <c r="I191" s="2"/>
      <c r="J191" s="3"/>
      <c r="K191" s="3"/>
    </row>
    <row r="192" spans="7:11" ht="13.5" customHeight="1" x14ac:dyDescent="0.25">
      <c r="G192" s="3"/>
      <c r="H192" s="3"/>
      <c r="I192" s="2"/>
      <c r="J192" s="3"/>
      <c r="K192" s="3"/>
    </row>
    <row r="193" spans="7:11" ht="13.5" customHeight="1" x14ac:dyDescent="0.25">
      <c r="G193" s="3"/>
      <c r="H193" s="3"/>
      <c r="I193" s="2"/>
      <c r="J193" s="3"/>
      <c r="K193" s="3"/>
    </row>
    <row r="194" spans="7:11" ht="13.5" customHeight="1" x14ac:dyDescent="0.25">
      <c r="G194" s="3"/>
      <c r="H194" s="3"/>
      <c r="I194" s="2"/>
      <c r="J194" s="3"/>
      <c r="K194" s="3"/>
    </row>
    <row r="195" spans="7:11" ht="13.5" customHeight="1" x14ac:dyDescent="0.25">
      <c r="G195" s="3"/>
      <c r="H195" s="3"/>
      <c r="I195" s="2"/>
      <c r="J195" s="3"/>
      <c r="K195" s="3"/>
    </row>
    <row r="196" spans="7:11" ht="13.5" customHeight="1" x14ac:dyDescent="0.25">
      <c r="G196" s="3"/>
      <c r="H196" s="3"/>
      <c r="I196" s="2"/>
      <c r="J196" s="3"/>
      <c r="K196" s="3"/>
    </row>
    <row r="197" spans="7:11" ht="13.5" customHeight="1" x14ac:dyDescent="0.25">
      <c r="G197" s="3"/>
      <c r="H197" s="3"/>
      <c r="I197" s="2"/>
      <c r="J197" s="3"/>
      <c r="K197" s="3"/>
    </row>
    <row r="198" spans="7:11" ht="13.5" customHeight="1" x14ac:dyDescent="0.25">
      <c r="G198" s="3"/>
      <c r="H198" s="3"/>
      <c r="I198" s="2"/>
      <c r="J198" s="3"/>
      <c r="K198" s="3"/>
    </row>
    <row r="199" spans="7:11" ht="13.5" customHeight="1" x14ac:dyDescent="0.25">
      <c r="G199" s="3"/>
      <c r="H199" s="3"/>
      <c r="I199" s="2"/>
      <c r="J199" s="3"/>
      <c r="K199" s="3"/>
    </row>
    <row r="200" spans="7:11" ht="13.5" customHeight="1" x14ac:dyDescent="0.25">
      <c r="G200" s="3"/>
      <c r="H200" s="3"/>
      <c r="I200" s="2"/>
      <c r="J200" s="3"/>
      <c r="K200" s="3"/>
    </row>
    <row r="201" spans="7:11" ht="13.5" customHeight="1" x14ac:dyDescent="0.25">
      <c r="G201" s="3"/>
      <c r="H201" s="3"/>
      <c r="I201" s="2"/>
      <c r="J201" s="3"/>
      <c r="K201" s="3"/>
    </row>
    <row r="202" spans="7:11" ht="13.5" customHeight="1" x14ac:dyDescent="0.25">
      <c r="G202" s="3"/>
      <c r="H202" s="3"/>
      <c r="I202" s="2"/>
      <c r="J202" s="3"/>
      <c r="K202" s="3"/>
    </row>
    <row r="203" spans="7:11" ht="13.5" customHeight="1" x14ac:dyDescent="0.25">
      <c r="G203" s="3"/>
      <c r="H203" s="3"/>
      <c r="I203" s="2"/>
      <c r="J203" s="3"/>
      <c r="K203" s="3"/>
    </row>
    <row r="204" spans="7:11" ht="13.5" customHeight="1" x14ac:dyDescent="0.25">
      <c r="G204" s="3"/>
      <c r="H204" s="3"/>
      <c r="I204" s="2"/>
      <c r="J204" s="3"/>
      <c r="K204" s="3"/>
    </row>
    <row r="205" spans="7:11" ht="13.5" customHeight="1" x14ac:dyDescent="0.25">
      <c r="G205" s="3"/>
      <c r="H205" s="3"/>
      <c r="I205" s="2"/>
      <c r="J205" s="3"/>
      <c r="K205" s="3"/>
    </row>
    <row r="206" spans="7:11" ht="13.5" customHeight="1" x14ac:dyDescent="0.25">
      <c r="G206" s="3"/>
      <c r="H206" s="3"/>
      <c r="I206" s="2"/>
      <c r="J206" s="3"/>
      <c r="K206" s="3"/>
    </row>
    <row r="207" spans="7:11" ht="13.5" customHeight="1" x14ac:dyDescent="0.25">
      <c r="G207" s="3"/>
      <c r="H207" s="3"/>
      <c r="I207" s="2"/>
      <c r="J207" s="3"/>
      <c r="K207" s="3"/>
    </row>
    <row r="208" spans="7:11" ht="13.5" customHeight="1" x14ac:dyDescent="0.25">
      <c r="G208" s="3"/>
      <c r="H208" s="3"/>
      <c r="I208" s="2"/>
      <c r="J208" s="3"/>
      <c r="K208" s="3"/>
    </row>
    <row r="209" spans="7:11" ht="13.5" customHeight="1" x14ac:dyDescent="0.25">
      <c r="G209" s="3"/>
      <c r="H209" s="3"/>
      <c r="I209" s="2"/>
      <c r="J209" s="3"/>
      <c r="K209" s="3"/>
    </row>
    <row r="210" spans="7:11" ht="13.5" customHeight="1" x14ac:dyDescent="0.25">
      <c r="G210" s="3"/>
      <c r="H210" s="3"/>
      <c r="I210" s="2"/>
      <c r="J210" s="3"/>
      <c r="K210" s="3"/>
    </row>
    <row r="211" spans="7:11" ht="13.5" customHeight="1" x14ac:dyDescent="0.25">
      <c r="G211" s="3"/>
      <c r="H211" s="3"/>
      <c r="I211" s="2"/>
      <c r="J211" s="3"/>
      <c r="K211" s="3"/>
    </row>
    <row r="212" spans="7:11" ht="13.5" customHeight="1" x14ac:dyDescent="0.25">
      <c r="G212" s="3"/>
      <c r="H212" s="3"/>
      <c r="I212" s="2"/>
      <c r="J212" s="3"/>
      <c r="K212" s="3"/>
    </row>
    <row r="213" spans="7:11" ht="13.5" customHeight="1" x14ac:dyDescent="0.25">
      <c r="G213" s="3"/>
      <c r="H213" s="3"/>
      <c r="I213" s="2"/>
      <c r="J213" s="3"/>
      <c r="K213" s="3"/>
    </row>
    <row r="214" spans="7:11" ht="13.5" customHeight="1" x14ac:dyDescent="0.25">
      <c r="G214" s="3"/>
      <c r="H214" s="3"/>
      <c r="I214" s="2"/>
      <c r="J214" s="3"/>
      <c r="K214" s="3"/>
    </row>
    <row r="215" spans="7:11" ht="13.5" customHeight="1" x14ac:dyDescent="0.25">
      <c r="G215" s="3"/>
      <c r="H215" s="3"/>
      <c r="I215" s="2"/>
      <c r="J215" s="3"/>
      <c r="K215" s="3"/>
    </row>
    <row r="216" spans="7:11" ht="13.5" customHeight="1" x14ac:dyDescent="0.25">
      <c r="G216" s="3"/>
      <c r="H216" s="3"/>
      <c r="I216" s="2"/>
      <c r="J216" s="3"/>
      <c r="K216" s="3"/>
    </row>
    <row r="217" spans="7:11" ht="13.5" customHeight="1" x14ac:dyDescent="0.25">
      <c r="G217" s="3"/>
      <c r="H217" s="3"/>
      <c r="I217" s="2"/>
      <c r="J217" s="3"/>
      <c r="K217" s="3"/>
    </row>
    <row r="218" spans="7:11" ht="13.5" customHeight="1" x14ac:dyDescent="0.25">
      <c r="G218" s="3"/>
      <c r="H218" s="3"/>
      <c r="I218" s="2"/>
      <c r="J218" s="3"/>
      <c r="K218" s="3"/>
    </row>
    <row r="219" spans="7:11" ht="13.5" customHeight="1" x14ac:dyDescent="0.25">
      <c r="G219" s="3"/>
      <c r="H219" s="3"/>
      <c r="I219" s="2"/>
      <c r="J219" s="3"/>
      <c r="K219" s="3"/>
    </row>
    <row r="220" spans="7:11" ht="13.5" customHeight="1" x14ac:dyDescent="0.25">
      <c r="G220" s="3"/>
      <c r="H220" s="3"/>
      <c r="I220" s="2"/>
      <c r="J220" s="3"/>
      <c r="K220" s="3"/>
    </row>
    <row r="221" spans="7:11" ht="13.5" customHeight="1" x14ac:dyDescent="0.25">
      <c r="G221" s="3"/>
      <c r="H221" s="3"/>
      <c r="I221" s="2"/>
      <c r="J221" s="3"/>
      <c r="K221" s="3"/>
    </row>
    <row r="222" spans="7:11" ht="13.5" customHeight="1" x14ac:dyDescent="0.25">
      <c r="G222" s="3"/>
      <c r="H222" s="3"/>
      <c r="I222" s="2"/>
      <c r="J222" s="3"/>
      <c r="K222" s="3"/>
    </row>
    <row r="223" spans="7:11" ht="13.5" customHeight="1" x14ac:dyDescent="0.25">
      <c r="G223" s="3"/>
      <c r="H223" s="3"/>
      <c r="I223" s="2"/>
      <c r="J223" s="3"/>
      <c r="K223" s="3"/>
    </row>
    <row r="224" spans="7:11" ht="13.5" customHeight="1" x14ac:dyDescent="0.25">
      <c r="G224" s="3"/>
      <c r="H224" s="3"/>
      <c r="I224" s="2"/>
      <c r="J224" s="3"/>
      <c r="K224" s="3"/>
    </row>
    <row r="225" spans="7:11" ht="13.5" customHeight="1" x14ac:dyDescent="0.25">
      <c r="G225" s="3"/>
      <c r="H225" s="3"/>
      <c r="I225" s="2"/>
      <c r="J225" s="3"/>
      <c r="K225" s="3"/>
    </row>
    <row r="226" spans="7:11" ht="13.5" customHeight="1" x14ac:dyDescent="0.25">
      <c r="G226" s="3"/>
      <c r="H226" s="3"/>
      <c r="I226" s="2"/>
      <c r="J226" s="3"/>
      <c r="K226" s="3"/>
    </row>
    <row r="227" spans="7:11" ht="13.5" customHeight="1" x14ac:dyDescent="0.25">
      <c r="G227" s="3"/>
      <c r="H227" s="3"/>
      <c r="I227" s="2"/>
      <c r="J227" s="3"/>
      <c r="K227" s="3"/>
    </row>
    <row r="228" spans="7:11" ht="13.5" customHeight="1" x14ac:dyDescent="0.25">
      <c r="G228" s="3"/>
      <c r="H228" s="3"/>
      <c r="I228" s="2"/>
      <c r="J228" s="3"/>
      <c r="K228" s="3"/>
    </row>
    <row r="229" spans="7:11" ht="13.5" customHeight="1" x14ac:dyDescent="0.25">
      <c r="G229" s="3"/>
      <c r="H229" s="3"/>
      <c r="I229" s="2"/>
      <c r="J229" s="3"/>
      <c r="K229" s="3"/>
    </row>
    <row r="230" spans="7:11" ht="13.5" customHeight="1" x14ac:dyDescent="0.25">
      <c r="G230" s="3"/>
      <c r="H230" s="3"/>
      <c r="I230" s="2"/>
      <c r="J230" s="3"/>
      <c r="K230" s="3"/>
    </row>
    <row r="231" spans="7:11" ht="13.5" customHeight="1" x14ac:dyDescent="0.25">
      <c r="G231" s="3"/>
      <c r="H231" s="3"/>
      <c r="I231" s="2"/>
      <c r="J231" s="3"/>
      <c r="K231" s="3"/>
    </row>
    <row r="232" spans="7:11" ht="13.5" customHeight="1" x14ac:dyDescent="0.25">
      <c r="G232" s="3"/>
      <c r="H232" s="3"/>
      <c r="I232" s="2"/>
      <c r="J232" s="3"/>
      <c r="K232" s="3"/>
    </row>
    <row r="233" spans="7:11" ht="13.5" customHeight="1" x14ac:dyDescent="0.25">
      <c r="G233" s="3"/>
      <c r="H233" s="3"/>
      <c r="I233" s="2"/>
      <c r="J233" s="3"/>
      <c r="K233" s="3"/>
    </row>
    <row r="234" spans="7:11" ht="13.5" customHeight="1" x14ac:dyDescent="0.25">
      <c r="G234" s="3"/>
      <c r="H234" s="3"/>
      <c r="I234" s="2"/>
      <c r="J234" s="3"/>
      <c r="K234" s="3"/>
    </row>
    <row r="235" spans="7:11" ht="13.5" customHeight="1" x14ac:dyDescent="0.25">
      <c r="G235" s="3"/>
      <c r="H235" s="3"/>
      <c r="I235" s="2"/>
      <c r="J235" s="3"/>
      <c r="K235" s="3"/>
    </row>
    <row r="236" spans="7:11" ht="13.5" customHeight="1" x14ac:dyDescent="0.25">
      <c r="G236" s="3"/>
      <c r="H236" s="3"/>
      <c r="I236" s="2"/>
      <c r="J236" s="3"/>
      <c r="K236" s="3"/>
    </row>
    <row r="237" spans="7:11" ht="13.5" customHeight="1" x14ac:dyDescent="0.25">
      <c r="G237" s="3"/>
      <c r="H237" s="3"/>
      <c r="I237" s="2"/>
      <c r="J237" s="3"/>
      <c r="K237" s="3"/>
    </row>
    <row r="238" spans="7:11" ht="13.5" customHeight="1" x14ac:dyDescent="0.25">
      <c r="G238" s="3"/>
      <c r="H238" s="3"/>
      <c r="I238" s="2"/>
      <c r="J238" s="3"/>
      <c r="K238" s="3"/>
    </row>
    <row r="239" spans="7:11" ht="13.5" customHeight="1" x14ac:dyDescent="0.25">
      <c r="G239" s="3"/>
      <c r="H239" s="3"/>
      <c r="I239" s="2"/>
      <c r="J239" s="3"/>
      <c r="K239" s="3"/>
    </row>
    <row r="240" spans="7:11" ht="13.5" customHeight="1" x14ac:dyDescent="0.25">
      <c r="G240" s="3"/>
      <c r="H240" s="3"/>
      <c r="I240" s="2"/>
      <c r="J240" s="3"/>
      <c r="K240" s="3"/>
    </row>
    <row r="241" spans="7:11" ht="13.5" customHeight="1" x14ac:dyDescent="0.25">
      <c r="G241" s="3"/>
      <c r="H241" s="3"/>
      <c r="I241" s="2"/>
      <c r="J241" s="3"/>
      <c r="K241" s="3"/>
    </row>
    <row r="242" spans="7:11" ht="13.5" customHeight="1" x14ac:dyDescent="0.25">
      <c r="G242" s="3"/>
      <c r="H242" s="3"/>
      <c r="I242" s="2"/>
      <c r="J242" s="3"/>
      <c r="K242" s="3"/>
    </row>
    <row r="243" spans="7:11" ht="13.5" customHeight="1" x14ac:dyDescent="0.25">
      <c r="G243" s="3"/>
      <c r="H243" s="3"/>
      <c r="I243" s="2"/>
      <c r="J243" s="3"/>
      <c r="K243" s="3"/>
    </row>
    <row r="244" spans="7:11" ht="13.5" customHeight="1" x14ac:dyDescent="0.25">
      <c r="G244" s="3"/>
      <c r="H244" s="3"/>
      <c r="I244" s="2"/>
      <c r="J244" s="3"/>
      <c r="K244" s="3"/>
    </row>
    <row r="245" spans="7:11" ht="13.5" customHeight="1" x14ac:dyDescent="0.25">
      <c r="G245" s="3"/>
      <c r="H245" s="3"/>
      <c r="I245" s="2"/>
      <c r="J245" s="3"/>
      <c r="K245" s="3"/>
    </row>
    <row r="246" spans="7:11" ht="13.5" customHeight="1" x14ac:dyDescent="0.25">
      <c r="G246" s="3"/>
      <c r="H246" s="3"/>
      <c r="I246" s="2"/>
      <c r="J246" s="3"/>
      <c r="K246" s="3"/>
    </row>
    <row r="247" spans="7:11" ht="13.5" customHeight="1" x14ac:dyDescent="0.25">
      <c r="G247" s="3"/>
      <c r="H247" s="3"/>
      <c r="I247" s="2"/>
      <c r="J247" s="3"/>
      <c r="K247" s="3"/>
    </row>
    <row r="248" spans="7:11" ht="13.5" customHeight="1" x14ac:dyDescent="0.25">
      <c r="G248" s="3"/>
      <c r="H248" s="3"/>
      <c r="I248" s="2"/>
      <c r="J248" s="3"/>
      <c r="K248" s="3"/>
    </row>
    <row r="249" spans="7:11" ht="13.5" customHeight="1" x14ac:dyDescent="0.25">
      <c r="G249" s="3"/>
      <c r="H249" s="3"/>
      <c r="I249" s="2"/>
      <c r="J249" s="3"/>
      <c r="K249" s="3"/>
    </row>
    <row r="250" spans="7:11" ht="13.5" customHeight="1" x14ac:dyDescent="0.25">
      <c r="G250" s="3"/>
      <c r="H250" s="3"/>
      <c r="I250" s="2"/>
      <c r="J250" s="3"/>
      <c r="K250" s="3"/>
    </row>
    <row r="251" spans="7:11" ht="13.5" customHeight="1" x14ac:dyDescent="0.25">
      <c r="G251" s="3"/>
      <c r="H251" s="3"/>
      <c r="I251" s="2"/>
      <c r="J251" s="3"/>
      <c r="K251" s="3"/>
    </row>
    <row r="252" spans="7:11" ht="13.5" customHeight="1" x14ac:dyDescent="0.25">
      <c r="G252" s="3"/>
      <c r="H252" s="3"/>
      <c r="I252" s="2"/>
      <c r="J252" s="3"/>
      <c r="K252" s="3"/>
    </row>
    <row r="253" spans="7:11" ht="13.5" customHeight="1" x14ac:dyDescent="0.25">
      <c r="G253" s="3"/>
      <c r="H253" s="3"/>
      <c r="I253" s="2"/>
      <c r="J253" s="3"/>
      <c r="K253" s="3"/>
    </row>
    <row r="254" spans="7:11" ht="13.5" customHeight="1" x14ac:dyDescent="0.25">
      <c r="G254" s="3"/>
      <c r="H254" s="3"/>
      <c r="I254" s="2"/>
      <c r="J254" s="3"/>
      <c r="K254" s="3"/>
    </row>
    <row r="255" spans="7:11" ht="13.5" customHeight="1" x14ac:dyDescent="0.25">
      <c r="G255" s="3"/>
      <c r="H255" s="3"/>
      <c r="I255" s="2"/>
      <c r="J255" s="3"/>
      <c r="K255" s="3"/>
    </row>
    <row r="256" spans="7:11" ht="13.5" customHeight="1" x14ac:dyDescent="0.25">
      <c r="G256" s="3"/>
      <c r="H256" s="3"/>
      <c r="I256" s="2"/>
      <c r="J256" s="3"/>
      <c r="K256" s="3"/>
    </row>
    <row r="257" spans="7:11" ht="13.5" customHeight="1" x14ac:dyDescent="0.25">
      <c r="G257" s="3"/>
      <c r="H257" s="3"/>
      <c r="I257" s="2"/>
      <c r="J257" s="3"/>
      <c r="K257" s="3"/>
    </row>
    <row r="258" spans="7:11" ht="13.5" customHeight="1" x14ac:dyDescent="0.25">
      <c r="G258" s="3"/>
      <c r="H258" s="3"/>
      <c r="I258" s="2"/>
      <c r="J258" s="3"/>
      <c r="K258" s="3"/>
    </row>
    <row r="259" spans="7:11" ht="13.5" customHeight="1" x14ac:dyDescent="0.25">
      <c r="G259" s="3"/>
      <c r="H259" s="3"/>
      <c r="I259" s="2"/>
      <c r="J259" s="3"/>
      <c r="K259" s="3"/>
    </row>
    <row r="260" spans="7:11" ht="13.5" customHeight="1" x14ac:dyDescent="0.25">
      <c r="G260" s="3"/>
      <c r="H260" s="3"/>
      <c r="I260" s="2"/>
      <c r="J260" s="3"/>
      <c r="K260" s="3"/>
    </row>
    <row r="261" spans="7:11" ht="13.5" customHeight="1" x14ac:dyDescent="0.25">
      <c r="G261" s="3"/>
      <c r="H261" s="3"/>
      <c r="I261" s="2"/>
      <c r="J261" s="3"/>
      <c r="K261" s="3"/>
    </row>
    <row r="262" spans="7:11" ht="13.5" customHeight="1" x14ac:dyDescent="0.25">
      <c r="G262" s="3"/>
      <c r="H262" s="3"/>
      <c r="I262" s="2"/>
      <c r="J262" s="3"/>
      <c r="K262" s="3"/>
    </row>
    <row r="263" spans="7:11" ht="13.5" customHeight="1" x14ac:dyDescent="0.25">
      <c r="G263" s="3"/>
      <c r="H263" s="3"/>
      <c r="I263" s="2"/>
      <c r="J263" s="3"/>
      <c r="K263" s="3"/>
    </row>
    <row r="264" spans="7:11" ht="13.5" customHeight="1" x14ac:dyDescent="0.25">
      <c r="G264" s="3"/>
      <c r="H264" s="3"/>
      <c r="I264" s="2"/>
      <c r="J264" s="3"/>
      <c r="K264" s="3"/>
    </row>
    <row r="265" spans="7:11" ht="13.5" customHeight="1" x14ac:dyDescent="0.25">
      <c r="G265" s="3"/>
      <c r="H265" s="3"/>
      <c r="I265" s="2"/>
      <c r="J265" s="3"/>
      <c r="K265" s="3"/>
    </row>
    <row r="266" spans="7:11" ht="13.5" customHeight="1" x14ac:dyDescent="0.25">
      <c r="G266" s="3"/>
      <c r="H266" s="3"/>
      <c r="I266" s="2"/>
      <c r="J266" s="3"/>
      <c r="K266" s="3"/>
    </row>
    <row r="267" spans="7:11" ht="13.5" customHeight="1" x14ac:dyDescent="0.25">
      <c r="G267" s="3"/>
      <c r="H267" s="3"/>
      <c r="I267" s="2"/>
      <c r="J267" s="3"/>
      <c r="K267" s="3"/>
    </row>
    <row r="268" spans="7:11" ht="13.5" customHeight="1" x14ac:dyDescent="0.25">
      <c r="G268" s="3"/>
      <c r="H268" s="3"/>
      <c r="I268" s="2"/>
      <c r="J268" s="3"/>
      <c r="K268" s="3"/>
    </row>
    <row r="269" spans="7:11" ht="13.5" customHeight="1" x14ac:dyDescent="0.25">
      <c r="G269" s="3"/>
      <c r="H269" s="3"/>
      <c r="I269" s="2"/>
      <c r="J269" s="3"/>
      <c r="K269" s="3"/>
    </row>
    <row r="270" spans="7:11" ht="13.5" customHeight="1" x14ac:dyDescent="0.25">
      <c r="G270" s="3"/>
      <c r="H270" s="3"/>
      <c r="I270" s="2"/>
      <c r="J270" s="3"/>
      <c r="K270" s="3"/>
    </row>
    <row r="271" spans="7:11" ht="13.5" customHeight="1" x14ac:dyDescent="0.25">
      <c r="G271" s="3"/>
      <c r="H271" s="3"/>
      <c r="I271" s="2"/>
      <c r="J271" s="3"/>
      <c r="K271" s="3"/>
    </row>
    <row r="272" spans="7:11" ht="13.5" customHeight="1" x14ac:dyDescent="0.25">
      <c r="G272" s="3"/>
      <c r="H272" s="3"/>
      <c r="I272" s="2"/>
      <c r="J272" s="3"/>
      <c r="K272" s="3"/>
    </row>
    <row r="273" spans="7:11" ht="13.5" customHeight="1" x14ac:dyDescent="0.25">
      <c r="G273" s="3"/>
      <c r="H273" s="3"/>
      <c r="I273" s="2"/>
      <c r="J273" s="3"/>
      <c r="K273" s="3"/>
    </row>
    <row r="274" spans="7:11" ht="13.5" customHeight="1" x14ac:dyDescent="0.25">
      <c r="G274" s="3"/>
      <c r="H274" s="3"/>
      <c r="I274" s="2"/>
      <c r="J274" s="3"/>
      <c r="K274" s="3"/>
    </row>
    <row r="275" spans="7:11" ht="13.5" customHeight="1" x14ac:dyDescent="0.25">
      <c r="G275" s="3"/>
      <c r="H275" s="3"/>
      <c r="I275" s="2"/>
      <c r="J275" s="3"/>
      <c r="K275" s="3"/>
    </row>
    <row r="276" spans="7:11" ht="13.5" customHeight="1" x14ac:dyDescent="0.25">
      <c r="G276" s="3"/>
      <c r="H276" s="3"/>
      <c r="I276" s="2"/>
      <c r="J276" s="3"/>
      <c r="K276" s="3"/>
    </row>
    <row r="277" spans="7:11" ht="13.5" customHeight="1" x14ac:dyDescent="0.25">
      <c r="G277" s="3"/>
      <c r="H277" s="3"/>
      <c r="I277" s="2"/>
      <c r="J277" s="3"/>
      <c r="K277" s="3"/>
    </row>
    <row r="278" spans="7:11" ht="13.5" customHeight="1" x14ac:dyDescent="0.25">
      <c r="G278" s="3"/>
      <c r="H278" s="3"/>
      <c r="I278" s="2"/>
      <c r="J278" s="3"/>
      <c r="K278" s="3"/>
    </row>
    <row r="279" spans="7:11" ht="13.5" customHeight="1" x14ac:dyDescent="0.25">
      <c r="G279" s="3"/>
      <c r="H279" s="3"/>
      <c r="I279" s="2"/>
      <c r="J279" s="3"/>
      <c r="K279" s="3"/>
    </row>
    <row r="280" spans="7:11" ht="13.5" customHeight="1" x14ac:dyDescent="0.25">
      <c r="G280" s="3"/>
      <c r="H280" s="3"/>
      <c r="I280" s="2"/>
      <c r="J280" s="3"/>
      <c r="K280" s="3"/>
    </row>
    <row r="281" spans="7:11" ht="13.5" customHeight="1" x14ac:dyDescent="0.25">
      <c r="G281" s="3"/>
      <c r="H281" s="3"/>
      <c r="I281" s="2"/>
      <c r="J281" s="3"/>
      <c r="K281" s="3"/>
    </row>
    <row r="282" spans="7:11" ht="13.5" customHeight="1" x14ac:dyDescent="0.25">
      <c r="G282" s="3"/>
      <c r="H282" s="3"/>
      <c r="I282" s="2"/>
      <c r="J282" s="3"/>
      <c r="K282" s="3"/>
    </row>
    <row r="283" spans="7:11" ht="13.5" customHeight="1" x14ac:dyDescent="0.25">
      <c r="G283" s="3"/>
      <c r="H283" s="3"/>
      <c r="I283" s="2"/>
      <c r="J283" s="3"/>
      <c r="K283" s="3"/>
    </row>
    <row r="284" spans="7:11" ht="13.5" customHeight="1" x14ac:dyDescent="0.25">
      <c r="G284" s="3"/>
      <c r="H284" s="3"/>
      <c r="I284" s="2"/>
      <c r="J284" s="3"/>
      <c r="K284" s="3"/>
    </row>
    <row r="285" spans="7:11" ht="13.5" customHeight="1" x14ac:dyDescent="0.25">
      <c r="G285" s="3"/>
      <c r="H285" s="3"/>
      <c r="I285" s="2"/>
      <c r="J285" s="3"/>
      <c r="K285" s="3"/>
    </row>
    <row r="286" spans="7:11" ht="13.5" customHeight="1" x14ac:dyDescent="0.25">
      <c r="G286" s="3"/>
      <c r="H286" s="3"/>
      <c r="I286" s="2"/>
      <c r="J286" s="3"/>
      <c r="K286" s="3"/>
    </row>
    <row r="287" spans="7:11" ht="13.5" customHeight="1" x14ac:dyDescent="0.25">
      <c r="G287" s="3"/>
      <c r="H287" s="3"/>
      <c r="I287" s="2"/>
      <c r="J287" s="3"/>
      <c r="K287" s="3"/>
    </row>
    <row r="288" spans="7:11" ht="13.5" customHeight="1" x14ac:dyDescent="0.25">
      <c r="G288" s="3"/>
      <c r="H288" s="3"/>
      <c r="I288" s="2"/>
      <c r="J288" s="3"/>
      <c r="K288" s="3"/>
    </row>
    <row r="289" spans="7:11" ht="13.5" customHeight="1" x14ac:dyDescent="0.25">
      <c r="G289" s="3"/>
      <c r="H289" s="3"/>
      <c r="I289" s="2"/>
      <c r="J289" s="3"/>
      <c r="K289" s="3"/>
    </row>
    <row r="290" spans="7:11" ht="13.5" customHeight="1" x14ac:dyDescent="0.25">
      <c r="G290" s="3"/>
      <c r="H290" s="3"/>
      <c r="I290" s="2"/>
      <c r="J290" s="3"/>
      <c r="K290" s="3"/>
    </row>
    <row r="291" spans="7:11" ht="13.5" customHeight="1" x14ac:dyDescent="0.25">
      <c r="G291" s="3"/>
      <c r="H291" s="3"/>
      <c r="I291" s="2"/>
      <c r="J291" s="3"/>
      <c r="K291" s="3"/>
    </row>
    <row r="292" spans="7:11" ht="13.5" customHeight="1" x14ac:dyDescent="0.25">
      <c r="G292" s="3"/>
      <c r="H292" s="3"/>
      <c r="I292" s="2"/>
      <c r="J292" s="3"/>
      <c r="K292" s="3"/>
    </row>
    <row r="293" spans="7:11" ht="13.5" customHeight="1" x14ac:dyDescent="0.25">
      <c r="G293" s="3"/>
      <c r="H293" s="3"/>
      <c r="I293" s="2"/>
      <c r="J293" s="3"/>
      <c r="K293" s="3"/>
    </row>
    <row r="294" spans="7:11" ht="13.5" customHeight="1" x14ac:dyDescent="0.25">
      <c r="G294" s="3"/>
      <c r="H294" s="3"/>
      <c r="I294" s="2"/>
      <c r="J294" s="3"/>
      <c r="K294" s="3"/>
    </row>
    <row r="295" spans="7:11" ht="13.5" customHeight="1" x14ac:dyDescent="0.25">
      <c r="G295" s="3"/>
      <c r="H295" s="3"/>
      <c r="I295" s="2"/>
      <c r="J295" s="3"/>
      <c r="K295" s="3"/>
    </row>
    <row r="296" spans="7:11" ht="13.5" customHeight="1" x14ac:dyDescent="0.25">
      <c r="G296" s="3"/>
      <c r="H296" s="3"/>
      <c r="I296" s="2"/>
      <c r="J296" s="3"/>
      <c r="K296" s="3"/>
    </row>
    <row r="297" spans="7:11" ht="13.5" customHeight="1" x14ac:dyDescent="0.25">
      <c r="G297" s="3"/>
      <c r="H297" s="3"/>
      <c r="I297" s="2"/>
      <c r="J297" s="3"/>
      <c r="K297" s="3"/>
    </row>
    <row r="298" spans="7:11" ht="13.5" customHeight="1" x14ac:dyDescent="0.25">
      <c r="G298" s="3"/>
      <c r="H298" s="3"/>
      <c r="I298" s="2"/>
      <c r="J298" s="3"/>
      <c r="K298" s="3"/>
    </row>
    <row r="299" spans="7:11" ht="13.5" customHeight="1" x14ac:dyDescent="0.25">
      <c r="G299" s="3"/>
      <c r="H299" s="3"/>
      <c r="I299" s="2"/>
      <c r="J299" s="3"/>
      <c r="K299" s="3"/>
    </row>
    <row r="300" spans="7:11" ht="13.5" customHeight="1" x14ac:dyDescent="0.25">
      <c r="G300" s="3"/>
      <c r="H300" s="3"/>
      <c r="I300" s="2"/>
      <c r="J300" s="3"/>
      <c r="K300" s="3"/>
    </row>
    <row r="301" spans="7:11" ht="13.5" customHeight="1" x14ac:dyDescent="0.25">
      <c r="G301" s="3"/>
      <c r="H301" s="3"/>
      <c r="I301" s="2"/>
      <c r="J301" s="3"/>
      <c r="K301" s="3"/>
    </row>
    <row r="302" spans="7:11" ht="13.5" customHeight="1" x14ac:dyDescent="0.25">
      <c r="G302" s="3"/>
      <c r="H302" s="3"/>
      <c r="I302" s="2"/>
      <c r="J302" s="3"/>
      <c r="K302" s="3"/>
    </row>
    <row r="303" spans="7:11" ht="13.5" customHeight="1" x14ac:dyDescent="0.25">
      <c r="G303" s="3"/>
      <c r="H303" s="3"/>
      <c r="I303" s="2"/>
      <c r="J303" s="3"/>
      <c r="K303" s="3"/>
    </row>
    <row r="304" spans="7:11" ht="13.5" customHeight="1" x14ac:dyDescent="0.25">
      <c r="G304" s="3"/>
      <c r="H304" s="3"/>
      <c r="I304" s="2"/>
      <c r="J304" s="3"/>
      <c r="K304" s="3"/>
    </row>
    <row r="305" spans="7:11" ht="13.5" customHeight="1" x14ac:dyDescent="0.25">
      <c r="G305" s="3"/>
      <c r="H305" s="3"/>
      <c r="I305" s="2"/>
      <c r="J305" s="3"/>
      <c r="K305" s="3"/>
    </row>
    <row r="306" spans="7:11" ht="13.5" customHeight="1" x14ac:dyDescent="0.25">
      <c r="G306" s="3"/>
      <c r="H306" s="3"/>
      <c r="I306" s="2"/>
      <c r="J306" s="3"/>
      <c r="K306" s="3"/>
    </row>
    <row r="307" spans="7:11" ht="13.5" customHeight="1" x14ac:dyDescent="0.25">
      <c r="G307" s="3"/>
      <c r="H307" s="3"/>
      <c r="I307" s="2"/>
      <c r="J307" s="3"/>
      <c r="K307" s="3"/>
    </row>
    <row r="308" spans="7:11" ht="13.5" customHeight="1" x14ac:dyDescent="0.25">
      <c r="G308" s="3"/>
      <c r="H308" s="3"/>
      <c r="I308" s="2"/>
      <c r="J308" s="3"/>
      <c r="K308" s="3"/>
    </row>
    <row r="309" spans="7:11" ht="13.5" customHeight="1" x14ac:dyDescent="0.25">
      <c r="G309" s="3"/>
      <c r="H309" s="3"/>
      <c r="I309" s="2"/>
      <c r="J309" s="3"/>
      <c r="K309" s="3"/>
    </row>
    <row r="310" spans="7:11" ht="13.5" customHeight="1" x14ac:dyDescent="0.25">
      <c r="G310" s="3"/>
      <c r="H310" s="3"/>
      <c r="I310" s="2"/>
      <c r="J310" s="3"/>
      <c r="K310" s="3"/>
    </row>
    <row r="311" spans="7:11" ht="13.5" customHeight="1" x14ac:dyDescent="0.25">
      <c r="G311" s="3"/>
      <c r="H311" s="3"/>
      <c r="I311" s="2"/>
      <c r="J311" s="3"/>
      <c r="K311" s="3"/>
    </row>
    <row r="312" spans="7:11" ht="13.5" customHeight="1" x14ac:dyDescent="0.25">
      <c r="G312" s="3"/>
      <c r="H312" s="3"/>
      <c r="I312" s="2"/>
      <c r="J312" s="3"/>
      <c r="K312" s="3"/>
    </row>
    <row r="313" spans="7:11" ht="13.5" customHeight="1" x14ac:dyDescent="0.25">
      <c r="G313" s="3"/>
      <c r="H313" s="3"/>
      <c r="I313" s="2"/>
      <c r="J313" s="3"/>
      <c r="K313" s="3"/>
    </row>
    <row r="314" spans="7:11" ht="13.5" customHeight="1" x14ac:dyDescent="0.25">
      <c r="G314" s="3"/>
      <c r="H314" s="3"/>
      <c r="I314" s="2"/>
      <c r="J314" s="3"/>
      <c r="K314" s="3"/>
    </row>
    <row r="315" spans="7:11" ht="13.5" customHeight="1" x14ac:dyDescent="0.25">
      <c r="G315" s="3"/>
      <c r="H315" s="3"/>
      <c r="I315" s="2"/>
      <c r="J315" s="3"/>
      <c r="K315" s="3"/>
    </row>
    <row r="316" spans="7:11" ht="13.5" customHeight="1" x14ac:dyDescent="0.25">
      <c r="G316" s="3"/>
      <c r="H316" s="3"/>
      <c r="I316" s="2"/>
      <c r="J316" s="3"/>
      <c r="K316" s="3"/>
    </row>
    <row r="317" spans="7:11" ht="13.5" customHeight="1" x14ac:dyDescent="0.25">
      <c r="G317" s="3"/>
      <c r="H317" s="3"/>
      <c r="I317" s="2"/>
      <c r="J317" s="3"/>
      <c r="K317" s="3"/>
    </row>
    <row r="318" spans="7:11" ht="13.5" customHeight="1" x14ac:dyDescent="0.25">
      <c r="G318" s="3"/>
      <c r="H318" s="3"/>
      <c r="I318" s="2"/>
      <c r="J318" s="3"/>
      <c r="K318" s="3"/>
    </row>
    <row r="319" spans="7:11" ht="13.5" customHeight="1" x14ac:dyDescent="0.25">
      <c r="G319" s="3"/>
      <c r="H319" s="3"/>
      <c r="I319" s="2"/>
      <c r="J319" s="3"/>
      <c r="K319" s="3"/>
    </row>
    <row r="320" spans="7:11" ht="13.5" customHeight="1" x14ac:dyDescent="0.25">
      <c r="G320" s="3"/>
      <c r="H320" s="3"/>
      <c r="I320" s="2"/>
      <c r="J320" s="3"/>
      <c r="K320" s="3"/>
    </row>
    <row r="321" spans="7:11" ht="13.5" customHeight="1" x14ac:dyDescent="0.25">
      <c r="G321" s="3"/>
      <c r="H321" s="3"/>
      <c r="I321" s="2"/>
      <c r="J321" s="3"/>
      <c r="K321" s="3"/>
    </row>
    <row r="322" spans="7:11" ht="13.5" customHeight="1" x14ac:dyDescent="0.25">
      <c r="G322" s="3"/>
      <c r="H322" s="3"/>
      <c r="I322" s="2"/>
      <c r="J322" s="3"/>
      <c r="K322" s="3"/>
    </row>
    <row r="323" spans="7:11" ht="13.5" customHeight="1" x14ac:dyDescent="0.25">
      <c r="G323" s="3"/>
      <c r="H323" s="3"/>
      <c r="I323" s="2"/>
      <c r="J323" s="3"/>
      <c r="K323" s="3"/>
    </row>
    <row r="324" spans="7:11" ht="13.5" customHeight="1" x14ac:dyDescent="0.25">
      <c r="G324" s="3"/>
      <c r="H324" s="3"/>
      <c r="I324" s="2"/>
      <c r="J324" s="3"/>
      <c r="K324" s="3"/>
    </row>
    <row r="325" spans="7:11" ht="13.5" customHeight="1" x14ac:dyDescent="0.25">
      <c r="G325" s="3"/>
      <c r="H325" s="3"/>
      <c r="I325" s="2"/>
      <c r="J325" s="3"/>
      <c r="K325" s="3"/>
    </row>
    <row r="326" spans="7:11" ht="13.5" customHeight="1" x14ac:dyDescent="0.25">
      <c r="G326" s="3"/>
      <c r="H326" s="3"/>
      <c r="I326" s="2"/>
      <c r="J326" s="3"/>
      <c r="K326" s="3"/>
    </row>
    <row r="327" spans="7:11" ht="13.5" customHeight="1" x14ac:dyDescent="0.25">
      <c r="G327" s="3"/>
      <c r="H327" s="3"/>
      <c r="I327" s="2"/>
      <c r="J327" s="3"/>
      <c r="K327" s="3"/>
    </row>
    <row r="328" spans="7:11" ht="13.5" customHeight="1" x14ac:dyDescent="0.25">
      <c r="G328" s="3"/>
      <c r="H328" s="3"/>
      <c r="I328" s="2"/>
      <c r="J328" s="3"/>
      <c r="K328" s="3"/>
    </row>
    <row r="329" spans="7:11" ht="13.5" customHeight="1" x14ac:dyDescent="0.25">
      <c r="G329" s="3"/>
      <c r="H329" s="3"/>
      <c r="I329" s="2"/>
      <c r="J329" s="3"/>
      <c r="K329" s="3"/>
    </row>
    <row r="330" spans="7:11" ht="13.5" customHeight="1" x14ac:dyDescent="0.25">
      <c r="G330" s="3"/>
      <c r="H330" s="3"/>
      <c r="I330" s="2"/>
      <c r="J330" s="3"/>
      <c r="K330" s="3"/>
    </row>
    <row r="331" spans="7:11" ht="13.5" customHeight="1" x14ac:dyDescent="0.25">
      <c r="G331" s="3"/>
      <c r="H331" s="3"/>
      <c r="I331" s="2"/>
      <c r="J331" s="3"/>
      <c r="K331" s="3"/>
    </row>
    <row r="332" spans="7:11" ht="13.5" customHeight="1" x14ac:dyDescent="0.25">
      <c r="G332" s="3"/>
      <c r="H332" s="3"/>
      <c r="I332" s="2"/>
      <c r="J332" s="3"/>
      <c r="K332" s="3"/>
    </row>
    <row r="333" spans="7:11" ht="13.5" customHeight="1" x14ac:dyDescent="0.25">
      <c r="G333" s="3"/>
      <c r="H333" s="3"/>
      <c r="I333" s="2"/>
      <c r="J333" s="3"/>
      <c r="K333" s="3"/>
    </row>
    <row r="334" spans="7:11" ht="13.5" customHeight="1" x14ac:dyDescent="0.25">
      <c r="G334" s="3"/>
      <c r="H334" s="3"/>
      <c r="I334" s="2"/>
      <c r="J334" s="3"/>
      <c r="K334" s="3"/>
    </row>
    <row r="335" spans="7:11" ht="13.5" customHeight="1" x14ac:dyDescent="0.25">
      <c r="G335" s="3"/>
      <c r="H335" s="3"/>
      <c r="I335" s="2"/>
      <c r="J335" s="3"/>
      <c r="K335" s="3"/>
    </row>
    <row r="336" spans="7:11" ht="13.5" customHeight="1" x14ac:dyDescent="0.25">
      <c r="G336" s="3"/>
      <c r="H336" s="3"/>
      <c r="I336" s="2"/>
      <c r="J336" s="3"/>
      <c r="K336" s="3"/>
    </row>
    <row r="337" spans="7:11" ht="13.5" customHeight="1" x14ac:dyDescent="0.25">
      <c r="G337" s="3"/>
      <c r="H337" s="3"/>
      <c r="I337" s="2"/>
      <c r="J337" s="3"/>
      <c r="K337" s="3"/>
    </row>
    <row r="338" spans="7:11" ht="13.5" customHeight="1" x14ac:dyDescent="0.25">
      <c r="G338" s="3"/>
      <c r="H338" s="3"/>
      <c r="I338" s="2"/>
      <c r="J338" s="3"/>
      <c r="K338" s="3"/>
    </row>
    <row r="339" spans="7:11" ht="13.5" customHeight="1" x14ac:dyDescent="0.25">
      <c r="G339" s="3"/>
      <c r="H339" s="3"/>
      <c r="I339" s="2"/>
      <c r="J339" s="3"/>
      <c r="K339" s="3"/>
    </row>
    <row r="340" spans="7:11" ht="13.5" customHeight="1" x14ac:dyDescent="0.25">
      <c r="G340" s="3"/>
      <c r="H340" s="3"/>
      <c r="I340" s="2"/>
      <c r="J340" s="3"/>
      <c r="K340" s="3"/>
    </row>
    <row r="341" spans="7:11" ht="13.5" customHeight="1" x14ac:dyDescent="0.25">
      <c r="G341" s="3"/>
      <c r="H341" s="3"/>
      <c r="I341" s="2"/>
      <c r="J341" s="3"/>
      <c r="K341" s="3"/>
    </row>
    <row r="342" spans="7:11" ht="13.5" customHeight="1" x14ac:dyDescent="0.25">
      <c r="G342" s="3"/>
      <c r="H342" s="3"/>
      <c r="I342" s="2"/>
      <c r="J342" s="3"/>
      <c r="K342" s="3"/>
    </row>
    <row r="343" spans="7:11" ht="13.5" customHeight="1" x14ac:dyDescent="0.25">
      <c r="G343" s="3"/>
      <c r="H343" s="3"/>
      <c r="I343" s="2"/>
      <c r="J343" s="3"/>
      <c r="K343" s="3"/>
    </row>
    <row r="344" spans="7:11" ht="13.5" customHeight="1" x14ac:dyDescent="0.25">
      <c r="G344" s="3"/>
      <c r="H344" s="3"/>
      <c r="I344" s="2"/>
      <c r="J344" s="3"/>
      <c r="K344" s="3"/>
    </row>
    <row r="345" spans="7:11" ht="13.5" customHeight="1" x14ac:dyDescent="0.25">
      <c r="G345" s="3"/>
      <c r="H345" s="3"/>
      <c r="I345" s="2"/>
      <c r="J345" s="3"/>
      <c r="K345" s="3"/>
    </row>
    <row r="346" spans="7:11" ht="13.5" customHeight="1" x14ac:dyDescent="0.25">
      <c r="G346" s="3"/>
      <c r="H346" s="3"/>
      <c r="I346" s="2"/>
      <c r="J346" s="3"/>
      <c r="K346" s="3"/>
    </row>
    <row r="347" spans="7:11" ht="13.5" customHeight="1" x14ac:dyDescent="0.25">
      <c r="G347" s="3"/>
      <c r="H347" s="3"/>
      <c r="I347" s="2"/>
      <c r="J347" s="3"/>
      <c r="K347" s="3"/>
    </row>
    <row r="348" spans="7:11" ht="13.5" customHeight="1" x14ac:dyDescent="0.25">
      <c r="G348" s="3"/>
      <c r="H348" s="3"/>
      <c r="I348" s="2"/>
      <c r="J348" s="3"/>
      <c r="K348" s="3"/>
    </row>
    <row r="349" spans="7:11" ht="13.5" customHeight="1" x14ac:dyDescent="0.25">
      <c r="G349" s="3"/>
      <c r="H349" s="3"/>
      <c r="I349" s="2"/>
      <c r="J349" s="3"/>
      <c r="K349" s="3"/>
    </row>
    <row r="350" spans="7:11" ht="13.5" customHeight="1" x14ac:dyDescent="0.25">
      <c r="G350" s="3"/>
      <c r="H350" s="3"/>
      <c r="I350" s="2"/>
      <c r="J350" s="3"/>
      <c r="K350" s="3"/>
    </row>
    <row r="351" spans="7:11" ht="13.5" customHeight="1" x14ac:dyDescent="0.25">
      <c r="G351" s="3"/>
      <c r="H351" s="3"/>
      <c r="I351" s="2"/>
      <c r="J351" s="3"/>
      <c r="K351" s="3"/>
    </row>
    <row r="352" spans="7:11" ht="13.5" customHeight="1" x14ac:dyDescent="0.25">
      <c r="G352" s="3"/>
      <c r="H352" s="3"/>
      <c r="I352" s="2"/>
      <c r="J352" s="3"/>
      <c r="K352" s="3"/>
    </row>
    <row r="353" spans="7:11" ht="13.5" customHeight="1" x14ac:dyDescent="0.25">
      <c r="G353" s="3"/>
      <c r="H353" s="3"/>
      <c r="I353" s="2"/>
      <c r="J353" s="3"/>
      <c r="K353" s="3"/>
    </row>
    <row r="354" spans="7:11" ht="13.5" customHeight="1" x14ac:dyDescent="0.25">
      <c r="G354" s="3"/>
      <c r="H354" s="3"/>
      <c r="I354" s="2"/>
      <c r="J354" s="3"/>
      <c r="K354" s="3"/>
    </row>
    <row r="355" spans="7:11" ht="13.5" customHeight="1" x14ac:dyDescent="0.25">
      <c r="G355" s="3"/>
      <c r="H355" s="3"/>
      <c r="I355" s="2"/>
      <c r="J355" s="3"/>
      <c r="K355" s="3"/>
    </row>
    <row r="356" spans="7:11" ht="13.5" customHeight="1" x14ac:dyDescent="0.25">
      <c r="G356" s="3"/>
      <c r="H356" s="3"/>
      <c r="I356" s="2"/>
      <c r="J356" s="3"/>
      <c r="K356" s="3"/>
    </row>
    <row r="357" spans="7:11" ht="13.5" customHeight="1" x14ac:dyDescent="0.25">
      <c r="G357" s="3"/>
      <c r="H357" s="3"/>
      <c r="I357" s="2"/>
      <c r="J357" s="3"/>
      <c r="K357" s="3"/>
    </row>
    <row r="358" spans="7:11" ht="13.5" customHeight="1" x14ac:dyDescent="0.25">
      <c r="G358" s="3"/>
      <c r="H358" s="3"/>
      <c r="I358" s="2"/>
      <c r="J358" s="3"/>
      <c r="K358" s="3"/>
    </row>
    <row r="359" spans="7:11" ht="13.5" customHeight="1" x14ac:dyDescent="0.25">
      <c r="G359" s="3"/>
      <c r="H359" s="3"/>
      <c r="I359" s="2"/>
      <c r="J359" s="3"/>
      <c r="K359" s="3"/>
    </row>
    <row r="360" spans="7:11" ht="13.5" customHeight="1" x14ac:dyDescent="0.25">
      <c r="G360" s="3"/>
      <c r="H360" s="3"/>
      <c r="I360" s="2"/>
      <c r="J360" s="3"/>
      <c r="K360" s="3"/>
    </row>
    <row r="361" spans="7:11" ht="13.5" customHeight="1" x14ac:dyDescent="0.25">
      <c r="G361" s="3"/>
      <c r="H361" s="3"/>
      <c r="I361" s="2"/>
      <c r="J361" s="3"/>
      <c r="K361" s="3"/>
    </row>
    <row r="362" spans="7:11" ht="13.5" customHeight="1" x14ac:dyDescent="0.25">
      <c r="G362" s="3"/>
      <c r="H362" s="3"/>
      <c r="I362" s="2"/>
      <c r="J362" s="3"/>
      <c r="K362" s="3"/>
    </row>
    <row r="363" spans="7:11" ht="13.5" customHeight="1" x14ac:dyDescent="0.25">
      <c r="G363" s="3"/>
      <c r="H363" s="3"/>
      <c r="I363" s="2"/>
      <c r="J363" s="3"/>
      <c r="K363" s="3"/>
    </row>
    <row r="364" spans="7:11" ht="13.5" customHeight="1" x14ac:dyDescent="0.25">
      <c r="G364" s="3"/>
      <c r="H364" s="3"/>
      <c r="I364" s="2"/>
      <c r="J364" s="3"/>
      <c r="K364" s="3"/>
    </row>
    <row r="365" spans="7:11" ht="13.5" customHeight="1" x14ac:dyDescent="0.25">
      <c r="G365" s="3"/>
      <c r="H365" s="3"/>
      <c r="I365" s="2"/>
      <c r="J365" s="3"/>
      <c r="K365" s="3"/>
    </row>
    <row r="366" spans="7:11" ht="13.5" customHeight="1" x14ac:dyDescent="0.25">
      <c r="G366" s="3"/>
      <c r="H366" s="3"/>
      <c r="I366" s="2"/>
      <c r="J366" s="3"/>
      <c r="K366" s="3"/>
    </row>
    <row r="367" spans="7:11" ht="13.5" customHeight="1" x14ac:dyDescent="0.25">
      <c r="G367" s="3"/>
      <c r="H367" s="3"/>
      <c r="I367" s="2"/>
      <c r="J367" s="3"/>
      <c r="K367" s="3"/>
    </row>
    <row r="368" spans="7:11" ht="13.5" customHeight="1" x14ac:dyDescent="0.25">
      <c r="G368" s="3"/>
      <c r="H368" s="3"/>
      <c r="I368" s="2"/>
      <c r="J368" s="3"/>
      <c r="K368" s="3"/>
    </row>
    <row r="369" spans="7:11" ht="13.5" customHeight="1" x14ac:dyDescent="0.25">
      <c r="G369" s="3"/>
      <c r="H369" s="3"/>
      <c r="I369" s="2"/>
      <c r="J369" s="3"/>
      <c r="K369" s="3"/>
    </row>
    <row r="370" spans="7:11" ht="13.5" customHeight="1" x14ac:dyDescent="0.25">
      <c r="G370" s="3"/>
      <c r="H370" s="3"/>
      <c r="I370" s="2"/>
      <c r="J370" s="3"/>
      <c r="K370" s="3"/>
    </row>
    <row r="371" spans="7:11" ht="13.5" customHeight="1" x14ac:dyDescent="0.25">
      <c r="G371" s="3"/>
      <c r="H371" s="3"/>
      <c r="I371" s="2"/>
      <c r="J371" s="3"/>
      <c r="K371" s="3"/>
    </row>
    <row r="372" spans="7:11" ht="13.5" customHeight="1" x14ac:dyDescent="0.25">
      <c r="G372" s="3"/>
      <c r="H372" s="3"/>
      <c r="I372" s="2"/>
      <c r="J372" s="3"/>
      <c r="K372" s="3"/>
    </row>
    <row r="373" spans="7:11" ht="13.5" customHeight="1" x14ac:dyDescent="0.25">
      <c r="G373" s="3"/>
      <c r="H373" s="3"/>
      <c r="I373" s="2"/>
      <c r="J373" s="3"/>
      <c r="K373" s="3"/>
    </row>
    <row r="374" spans="7:11" ht="13.5" customHeight="1" x14ac:dyDescent="0.25">
      <c r="G374" s="3"/>
      <c r="H374" s="3"/>
      <c r="I374" s="2"/>
      <c r="J374" s="3"/>
      <c r="K374" s="3"/>
    </row>
    <row r="375" spans="7:11" ht="13.5" customHeight="1" x14ac:dyDescent="0.25">
      <c r="G375" s="3"/>
      <c r="H375" s="3"/>
      <c r="I375" s="2"/>
      <c r="J375" s="3"/>
      <c r="K375" s="3"/>
    </row>
    <row r="376" spans="7:11" ht="13.5" customHeight="1" x14ac:dyDescent="0.25">
      <c r="G376" s="3"/>
      <c r="H376" s="3"/>
      <c r="I376" s="2"/>
      <c r="J376" s="3"/>
      <c r="K376" s="3"/>
    </row>
    <row r="377" spans="7:11" ht="13.5" customHeight="1" x14ac:dyDescent="0.25">
      <c r="G377" s="3"/>
      <c r="H377" s="3"/>
      <c r="I377" s="2"/>
      <c r="J377" s="3"/>
      <c r="K377" s="3"/>
    </row>
    <row r="378" spans="7:11" ht="13.5" customHeight="1" x14ac:dyDescent="0.25">
      <c r="G378" s="3"/>
      <c r="H378" s="3"/>
      <c r="I378" s="2"/>
      <c r="J378" s="3"/>
      <c r="K378" s="3"/>
    </row>
    <row r="379" spans="7:11" ht="13.5" customHeight="1" x14ac:dyDescent="0.25">
      <c r="G379" s="3"/>
      <c r="H379" s="3"/>
      <c r="I379" s="2"/>
      <c r="J379" s="3"/>
      <c r="K379" s="3"/>
    </row>
    <row r="380" spans="7:11" ht="13.5" customHeight="1" x14ac:dyDescent="0.25">
      <c r="G380" s="3"/>
      <c r="H380" s="3"/>
      <c r="I380" s="2"/>
      <c r="J380" s="3"/>
      <c r="K380" s="3"/>
    </row>
    <row r="381" spans="7:11" ht="13.5" customHeight="1" x14ac:dyDescent="0.25">
      <c r="G381" s="3"/>
      <c r="H381" s="3"/>
      <c r="I381" s="2"/>
      <c r="J381" s="3"/>
      <c r="K381" s="3"/>
    </row>
    <row r="382" spans="7:11" ht="13.5" customHeight="1" x14ac:dyDescent="0.25">
      <c r="G382" s="3"/>
      <c r="H382" s="3"/>
      <c r="I382" s="2"/>
      <c r="J382" s="3"/>
      <c r="K382" s="3"/>
    </row>
    <row r="383" spans="7:11" ht="13.5" customHeight="1" x14ac:dyDescent="0.25">
      <c r="G383" s="3"/>
      <c r="H383" s="3"/>
      <c r="I383" s="2"/>
      <c r="J383" s="3"/>
      <c r="K383" s="3"/>
    </row>
    <row r="384" spans="7:11" ht="13.5" customHeight="1" x14ac:dyDescent="0.25">
      <c r="G384" s="3"/>
      <c r="H384" s="3"/>
      <c r="I384" s="2"/>
      <c r="J384" s="3"/>
      <c r="K384" s="3"/>
    </row>
    <row r="385" spans="7:11" ht="13.5" customHeight="1" x14ac:dyDescent="0.25">
      <c r="G385" s="3"/>
      <c r="H385" s="3"/>
      <c r="I385" s="2"/>
      <c r="J385" s="3"/>
      <c r="K385" s="3"/>
    </row>
    <row r="386" spans="7:11" ht="13.5" customHeight="1" x14ac:dyDescent="0.25">
      <c r="G386" s="3"/>
      <c r="H386" s="3"/>
      <c r="I386" s="2"/>
      <c r="J386" s="3"/>
      <c r="K386" s="3"/>
    </row>
    <row r="387" spans="7:11" ht="13.5" customHeight="1" x14ac:dyDescent="0.25">
      <c r="G387" s="3"/>
      <c r="H387" s="3"/>
      <c r="I387" s="2"/>
      <c r="J387" s="3"/>
      <c r="K387" s="3"/>
    </row>
    <row r="388" spans="7:11" ht="13.5" customHeight="1" x14ac:dyDescent="0.25">
      <c r="G388" s="3"/>
      <c r="H388" s="3"/>
      <c r="I388" s="2"/>
      <c r="J388" s="3"/>
      <c r="K388" s="3"/>
    </row>
    <row r="389" spans="7:11" ht="13.5" customHeight="1" x14ac:dyDescent="0.25">
      <c r="G389" s="3"/>
      <c r="H389" s="3"/>
      <c r="I389" s="2"/>
      <c r="J389" s="3"/>
      <c r="K389" s="3"/>
    </row>
    <row r="390" spans="7:11" ht="13.5" customHeight="1" x14ac:dyDescent="0.25">
      <c r="G390" s="3"/>
      <c r="H390" s="3"/>
      <c r="I390" s="2"/>
      <c r="J390" s="3"/>
      <c r="K390" s="3"/>
    </row>
    <row r="391" spans="7:11" ht="13.5" customHeight="1" x14ac:dyDescent="0.25">
      <c r="G391" s="3"/>
      <c r="H391" s="3"/>
      <c r="I391" s="2"/>
      <c r="J391" s="3"/>
      <c r="K391" s="3"/>
    </row>
    <row r="392" spans="7:11" ht="13.5" customHeight="1" x14ac:dyDescent="0.25">
      <c r="G392" s="3"/>
      <c r="H392" s="3"/>
      <c r="I392" s="2"/>
      <c r="J392" s="3"/>
      <c r="K392" s="3"/>
    </row>
    <row r="393" spans="7:11" ht="13.5" customHeight="1" x14ac:dyDescent="0.25">
      <c r="G393" s="3"/>
      <c r="H393" s="3"/>
      <c r="I393" s="2"/>
      <c r="J393" s="3"/>
      <c r="K393" s="3"/>
    </row>
    <row r="394" spans="7:11" ht="13.5" customHeight="1" x14ac:dyDescent="0.25">
      <c r="G394" s="3"/>
      <c r="H394" s="3"/>
      <c r="I394" s="2"/>
      <c r="J394" s="3"/>
      <c r="K394" s="3"/>
    </row>
    <row r="395" spans="7:11" ht="13.5" customHeight="1" x14ac:dyDescent="0.25">
      <c r="G395" s="3"/>
      <c r="H395" s="3"/>
      <c r="I395" s="2"/>
      <c r="J395" s="3"/>
      <c r="K395" s="3"/>
    </row>
    <row r="396" spans="7:11" ht="13.5" customHeight="1" x14ac:dyDescent="0.25">
      <c r="G396" s="3"/>
      <c r="H396" s="3"/>
      <c r="I396" s="2"/>
      <c r="J396" s="3"/>
      <c r="K396" s="3"/>
    </row>
    <row r="397" spans="7:11" ht="13.5" customHeight="1" x14ac:dyDescent="0.25">
      <c r="G397" s="3"/>
      <c r="H397" s="3"/>
      <c r="I397" s="2"/>
      <c r="J397" s="3"/>
      <c r="K397" s="3"/>
    </row>
    <row r="398" spans="7:11" ht="13.5" customHeight="1" x14ac:dyDescent="0.25">
      <c r="G398" s="3"/>
      <c r="H398" s="3"/>
      <c r="I398" s="2"/>
      <c r="J398" s="3"/>
      <c r="K398" s="3"/>
    </row>
    <row r="399" spans="7:11" ht="13.5" customHeight="1" x14ac:dyDescent="0.25">
      <c r="G399" s="3"/>
      <c r="H399" s="3"/>
      <c r="I399" s="2"/>
      <c r="J399" s="3"/>
      <c r="K399" s="3"/>
    </row>
    <row r="400" spans="7:11" ht="13.5" customHeight="1" x14ac:dyDescent="0.25">
      <c r="G400" s="3"/>
      <c r="H400" s="3"/>
      <c r="I400" s="2"/>
      <c r="J400" s="3"/>
      <c r="K400" s="3"/>
    </row>
    <row r="401" spans="7:11" ht="13.5" customHeight="1" x14ac:dyDescent="0.25">
      <c r="G401" s="3"/>
      <c r="H401" s="3"/>
      <c r="I401" s="2"/>
      <c r="J401" s="3"/>
      <c r="K401" s="3"/>
    </row>
    <row r="402" spans="7:11" ht="13.5" customHeight="1" x14ac:dyDescent="0.25">
      <c r="G402" s="3"/>
      <c r="H402" s="3"/>
      <c r="I402" s="2"/>
      <c r="J402" s="3"/>
      <c r="K402" s="3"/>
    </row>
    <row r="403" spans="7:11" ht="13.5" customHeight="1" x14ac:dyDescent="0.25">
      <c r="G403" s="3"/>
      <c r="H403" s="3"/>
      <c r="I403" s="2"/>
      <c r="J403" s="3"/>
      <c r="K403" s="3"/>
    </row>
    <row r="404" spans="7:11" ht="13.5" customHeight="1" x14ac:dyDescent="0.25">
      <c r="G404" s="3"/>
      <c r="H404" s="3"/>
      <c r="I404" s="2"/>
      <c r="J404" s="3"/>
      <c r="K404" s="3"/>
    </row>
    <row r="405" spans="7:11" ht="13.5" customHeight="1" x14ac:dyDescent="0.25">
      <c r="G405" s="3"/>
      <c r="H405" s="3"/>
      <c r="I405" s="2"/>
      <c r="J405" s="3"/>
      <c r="K405" s="3"/>
    </row>
    <row r="406" spans="7:11" ht="13.5" customHeight="1" x14ac:dyDescent="0.25">
      <c r="G406" s="3"/>
      <c r="H406" s="3"/>
      <c r="I406" s="2"/>
      <c r="J406" s="3"/>
      <c r="K406" s="3"/>
    </row>
    <row r="407" spans="7:11" ht="13.5" customHeight="1" x14ac:dyDescent="0.25">
      <c r="G407" s="3"/>
      <c r="H407" s="3"/>
      <c r="I407" s="2"/>
      <c r="J407" s="3"/>
      <c r="K407" s="3"/>
    </row>
    <row r="408" spans="7:11" ht="13.5" customHeight="1" x14ac:dyDescent="0.25">
      <c r="G408" s="3"/>
      <c r="H408" s="3"/>
      <c r="I408" s="2"/>
      <c r="J408" s="3"/>
      <c r="K408" s="3"/>
    </row>
    <row r="409" spans="7:11" ht="13.5" customHeight="1" x14ac:dyDescent="0.25">
      <c r="G409" s="3"/>
      <c r="H409" s="3"/>
      <c r="I409" s="2"/>
      <c r="J409" s="3"/>
      <c r="K409" s="3"/>
    </row>
    <row r="410" spans="7:11" ht="13.5" customHeight="1" x14ac:dyDescent="0.25">
      <c r="G410" s="3"/>
      <c r="H410" s="3"/>
      <c r="I410" s="2"/>
      <c r="J410" s="3"/>
      <c r="K410" s="3"/>
    </row>
    <row r="411" spans="7:11" ht="13.5" customHeight="1" x14ac:dyDescent="0.25">
      <c r="G411" s="3"/>
      <c r="H411" s="3"/>
      <c r="I411" s="2"/>
      <c r="J411" s="3"/>
      <c r="K411" s="3"/>
    </row>
    <row r="412" spans="7:11" ht="13.5" customHeight="1" x14ac:dyDescent="0.25">
      <c r="G412" s="3"/>
      <c r="H412" s="3"/>
      <c r="I412" s="2"/>
      <c r="J412" s="3"/>
      <c r="K412" s="3"/>
    </row>
    <row r="413" spans="7:11" ht="13.5" customHeight="1" x14ac:dyDescent="0.25">
      <c r="G413" s="3"/>
      <c r="H413" s="3"/>
      <c r="I413" s="2"/>
      <c r="J413" s="3"/>
      <c r="K413" s="3"/>
    </row>
    <row r="414" spans="7:11" ht="13.5" customHeight="1" x14ac:dyDescent="0.25">
      <c r="G414" s="3"/>
      <c r="H414" s="3"/>
      <c r="I414" s="2"/>
      <c r="J414" s="3"/>
      <c r="K414" s="3"/>
    </row>
    <row r="415" spans="7:11" ht="13.5" customHeight="1" x14ac:dyDescent="0.25">
      <c r="G415" s="3"/>
      <c r="H415" s="3"/>
      <c r="I415" s="2"/>
      <c r="J415" s="3"/>
      <c r="K415" s="3"/>
    </row>
    <row r="416" spans="7:11" ht="13.5" customHeight="1" x14ac:dyDescent="0.25">
      <c r="G416" s="3"/>
      <c r="H416" s="3"/>
      <c r="I416" s="2"/>
      <c r="J416" s="3"/>
      <c r="K416" s="3"/>
    </row>
    <row r="417" spans="7:11" ht="13.5" customHeight="1" x14ac:dyDescent="0.25">
      <c r="G417" s="3"/>
      <c r="H417" s="3"/>
      <c r="I417" s="2"/>
      <c r="J417" s="3"/>
      <c r="K417" s="3"/>
    </row>
    <row r="418" spans="7:11" ht="13.5" customHeight="1" x14ac:dyDescent="0.25">
      <c r="G418" s="3"/>
      <c r="H418" s="3"/>
      <c r="I418" s="2"/>
      <c r="J418" s="3"/>
      <c r="K418" s="3"/>
    </row>
    <row r="419" spans="7:11" ht="13.5" customHeight="1" x14ac:dyDescent="0.25">
      <c r="G419" s="3"/>
      <c r="H419" s="3"/>
      <c r="I419" s="2"/>
      <c r="J419" s="3"/>
      <c r="K419" s="3"/>
    </row>
    <row r="420" spans="7:11" ht="13.5" customHeight="1" x14ac:dyDescent="0.25">
      <c r="G420" s="3"/>
      <c r="H420" s="3"/>
      <c r="I420" s="2"/>
      <c r="J420" s="3"/>
      <c r="K420" s="3"/>
    </row>
    <row r="421" spans="7:11" ht="13.5" customHeight="1" x14ac:dyDescent="0.25">
      <c r="G421" s="3"/>
      <c r="H421" s="3"/>
      <c r="I421" s="2"/>
      <c r="J421" s="3"/>
      <c r="K421" s="3"/>
    </row>
    <row r="422" spans="7:11" ht="13.5" customHeight="1" x14ac:dyDescent="0.25">
      <c r="G422" s="3"/>
      <c r="H422" s="3"/>
      <c r="I422" s="2"/>
      <c r="J422" s="3"/>
      <c r="K422" s="3"/>
    </row>
    <row r="423" spans="7:11" ht="13.5" customHeight="1" x14ac:dyDescent="0.25">
      <c r="G423" s="3"/>
      <c r="H423" s="3"/>
      <c r="I423" s="2"/>
      <c r="J423" s="3"/>
      <c r="K423" s="3"/>
    </row>
    <row r="424" spans="7:11" ht="13.5" customHeight="1" x14ac:dyDescent="0.25">
      <c r="G424" s="3"/>
      <c r="H424" s="3"/>
      <c r="I424" s="2"/>
      <c r="J424" s="3"/>
      <c r="K424" s="3"/>
    </row>
    <row r="425" spans="7:11" ht="13.5" customHeight="1" x14ac:dyDescent="0.25">
      <c r="G425" s="3"/>
      <c r="H425" s="3"/>
      <c r="I425" s="2"/>
      <c r="J425" s="3"/>
      <c r="K425" s="3"/>
    </row>
    <row r="426" spans="7:11" ht="13.5" customHeight="1" x14ac:dyDescent="0.25">
      <c r="G426" s="3"/>
      <c r="H426" s="3"/>
      <c r="I426" s="2"/>
      <c r="J426" s="3"/>
      <c r="K426" s="3"/>
    </row>
    <row r="427" spans="7:11" ht="13.5" customHeight="1" x14ac:dyDescent="0.25">
      <c r="G427" s="3"/>
      <c r="H427" s="3"/>
      <c r="I427" s="2"/>
      <c r="J427" s="3"/>
      <c r="K427" s="3"/>
    </row>
    <row r="428" spans="7:11" ht="13.5" customHeight="1" x14ac:dyDescent="0.25">
      <c r="G428" s="3"/>
      <c r="H428" s="3"/>
      <c r="I428" s="2"/>
      <c r="J428" s="3"/>
      <c r="K428" s="3"/>
    </row>
    <row r="429" spans="7:11" ht="13.5" customHeight="1" x14ac:dyDescent="0.25">
      <c r="G429" s="3"/>
      <c r="H429" s="3"/>
      <c r="I429" s="2"/>
      <c r="J429" s="3"/>
      <c r="K429" s="3"/>
    </row>
    <row r="430" spans="7:11" ht="13.5" customHeight="1" x14ac:dyDescent="0.25">
      <c r="G430" s="3"/>
      <c r="H430" s="3"/>
      <c r="I430" s="2"/>
      <c r="J430" s="3"/>
      <c r="K430" s="3"/>
    </row>
    <row r="431" spans="7:11" ht="13.5" customHeight="1" x14ac:dyDescent="0.25">
      <c r="G431" s="3"/>
      <c r="H431" s="3"/>
      <c r="I431" s="2"/>
      <c r="J431" s="3"/>
      <c r="K431" s="3"/>
    </row>
    <row r="432" spans="7:11" ht="13.5" customHeight="1" x14ac:dyDescent="0.25">
      <c r="G432" s="3"/>
      <c r="H432" s="3"/>
      <c r="I432" s="2"/>
      <c r="J432" s="3"/>
      <c r="K432" s="3"/>
    </row>
    <row r="433" spans="7:11" ht="13.5" customHeight="1" x14ac:dyDescent="0.25">
      <c r="G433" s="3"/>
      <c r="H433" s="3"/>
      <c r="I433" s="2"/>
      <c r="J433" s="3"/>
      <c r="K433" s="3"/>
    </row>
    <row r="434" spans="7:11" ht="13.5" customHeight="1" x14ac:dyDescent="0.25">
      <c r="G434" s="3"/>
      <c r="H434" s="3"/>
      <c r="I434" s="2"/>
      <c r="J434" s="3"/>
      <c r="K434" s="3"/>
    </row>
    <row r="435" spans="7:11" ht="13.5" customHeight="1" x14ac:dyDescent="0.25">
      <c r="G435" s="3"/>
      <c r="H435" s="3"/>
      <c r="I435" s="2"/>
      <c r="J435" s="3"/>
      <c r="K435" s="3"/>
    </row>
    <row r="436" spans="7:11" ht="13.5" customHeight="1" x14ac:dyDescent="0.25">
      <c r="G436" s="3"/>
      <c r="H436" s="3"/>
      <c r="I436" s="2"/>
      <c r="J436" s="3"/>
      <c r="K436" s="3"/>
    </row>
    <row r="437" spans="7:11" ht="13.5" customHeight="1" x14ac:dyDescent="0.25">
      <c r="G437" s="3"/>
      <c r="H437" s="3"/>
      <c r="I437" s="2"/>
      <c r="J437" s="3"/>
      <c r="K437" s="3"/>
    </row>
    <row r="438" spans="7:11" ht="13.5" customHeight="1" x14ac:dyDescent="0.25">
      <c r="G438" s="3"/>
      <c r="H438" s="3"/>
      <c r="I438" s="2"/>
      <c r="J438" s="3"/>
      <c r="K438" s="3"/>
    </row>
    <row r="439" spans="7:11" ht="13.5" customHeight="1" x14ac:dyDescent="0.25">
      <c r="G439" s="3"/>
      <c r="H439" s="3"/>
      <c r="I439" s="2"/>
      <c r="J439" s="3"/>
      <c r="K439" s="3"/>
    </row>
    <row r="440" spans="7:11" ht="13.5" customHeight="1" x14ac:dyDescent="0.25">
      <c r="G440" s="3"/>
      <c r="H440" s="3"/>
      <c r="I440" s="2"/>
      <c r="J440" s="3"/>
      <c r="K440" s="3"/>
    </row>
    <row r="441" spans="7:11" ht="13.5" customHeight="1" x14ac:dyDescent="0.25">
      <c r="G441" s="3"/>
      <c r="H441" s="3"/>
      <c r="I441" s="2"/>
      <c r="J441" s="3"/>
      <c r="K441" s="3"/>
    </row>
    <row r="442" spans="7:11" ht="13.5" customHeight="1" x14ac:dyDescent="0.25">
      <c r="G442" s="3"/>
      <c r="H442" s="3"/>
      <c r="I442" s="2"/>
      <c r="J442" s="3"/>
      <c r="K442" s="3"/>
    </row>
    <row r="443" spans="7:11" ht="13.5" customHeight="1" x14ac:dyDescent="0.25">
      <c r="G443" s="3"/>
      <c r="H443" s="3"/>
      <c r="I443" s="2"/>
      <c r="J443" s="3"/>
      <c r="K443" s="3"/>
    </row>
    <row r="444" spans="7:11" ht="13.5" customHeight="1" x14ac:dyDescent="0.25">
      <c r="G444" s="3"/>
      <c r="H444" s="3"/>
      <c r="I444" s="2"/>
      <c r="J444" s="3"/>
      <c r="K444" s="3"/>
    </row>
    <row r="445" spans="7:11" ht="13.5" customHeight="1" x14ac:dyDescent="0.25">
      <c r="G445" s="3"/>
      <c r="H445" s="3"/>
      <c r="I445" s="2"/>
      <c r="J445" s="3"/>
      <c r="K445" s="3"/>
    </row>
    <row r="446" spans="7:11" ht="13.5" customHeight="1" x14ac:dyDescent="0.25">
      <c r="G446" s="3"/>
      <c r="H446" s="3"/>
      <c r="I446" s="2"/>
      <c r="J446" s="3"/>
      <c r="K446" s="3"/>
    </row>
    <row r="447" spans="7:11" ht="13.5" customHeight="1" x14ac:dyDescent="0.25">
      <c r="G447" s="3"/>
      <c r="H447" s="3"/>
      <c r="I447" s="2"/>
      <c r="J447" s="3"/>
      <c r="K447" s="3"/>
    </row>
    <row r="448" spans="7:11" ht="13.5" customHeight="1" x14ac:dyDescent="0.25">
      <c r="G448" s="3"/>
      <c r="H448" s="3"/>
      <c r="I448" s="2"/>
      <c r="J448" s="3"/>
      <c r="K448" s="3"/>
    </row>
    <row r="449" spans="7:11" ht="13.5" customHeight="1" x14ac:dyDescent="0.25">
      <c r="G449" s="3"/>
      <c r="H449" s="3"/>
      <c r="I449" s="2"/>
      <c r="J449" s="3"/>
      <c r="K449" s="3"/>
    </row>
    <row r="450" spans="7:11" ht="13.5" customHeight="1" x14ac:dyDescent="0.25">
      <c r="G450" s="3"/>
      <c r="H450" s="3"/>
      <c r="I450" s="2"/>
      <c r="J450" s="3"/>
      <c r="K450" s="3"/>
    </row>
    <row r="451" spans="7:11" ht="13.5" customHeight="1" x14ac:dyDescent="0.25">
      <c r="G451" s="3"/>
      <c r="H451" s="3"/>
      <c r="I451" s="2"/>
      <c r="J451" s="3"/>
      <c r="K451" s="3"/>
    </row>
    <row r="452" spans="7:11" ht="13.5" customHeight="1" x14ac:dyDescent="0.25">
      <c r="G452" s="3"/>
      <c r="H452" s="3"/>
      <c r="I452" s="2"/>
      <c r="J452" s="3"/>
      <c r="K452" s="3"/>
    </row>
    <row r="453" spans="7:11" ht="13.5" customHeight="1" x14ac:dyDescent="0.25">
      <c r="G453" s="3"/>
      <c r="H453" s="3"/>
      <c r="I453" s="2"/>
      <c r="J453" s="3"/>
      <c r="K453" s="3"/>
    </row>
    <row r="454" spans="7:11" ht="13.5" customHeight="1" x14ac:dyDescent="0.25">
      <c r="G454" s="3"/>
      <c r="H454" s="3"/>
      <c r="I454" s="2"/>
      <c r="J454" s="3"/>
      <c r="K454" s="3"/>
    </row>
    <row r="455" spans="7:11" ht="13.5" customHeight="1" x14ac:dyDescent="0.25">
      <c r="G455" s="3"/>
      <c r="H455" s="3"/>
      <c r="I455" s="2"/>
      <c r="J455" s="3"/>
      <c r="K455" s="3"/>
    </row>
    <row r="456" spans="7:11" ht="13.5" customHeight="1" x14ac:dyDescent="0.25">
      <c r="G456" s="3"/>
      <c r="H456" s="3"/>
      <c r="I456" s="2"/>
      <c r="J456" s="3"/>
      <c r="K456" s="3"/>
    </row>
    <row r="457" spans="7:11" ht="13.5" customHeight="1" x14ac:dyDescent="0.25">
      <c r="G457" s="3"/>
      <c r="H457" s="3"/>
      <c r="I457" s="2"/>
      <c r="J457" s="3"/>
      <c r="K457" s="3"/>
    </row>
    <row r="458" spans="7:11" ht="13.5" customHeight="1" x14ac:dyDescent="0.25">
      <c r="G458" s="3"/>
      <c r="H458" s="3"/>
      <c r="I458" s="2"/>
      <c r="J458" s="3"/>
      <c r="K458" s="3"/>
    </row>
    <row r="459" spans="7:11" ht="13.5" customHeight="1" x14ac:dyDescent="0.25">
      <c r="G459" s="3"/>
      <c r="H459" s="3"/>
      <c r="I459" s="2"/>
      <c r="J459" s="3"/>
      <c r="K459" s="3"/>
    </row>
    <row r="460" spans="7:11" ht="13.5" customHeight="1" x14ac:dyDescent="0.25">
      <c r="G460" s="3"/>
      <c r="H460" s="3"/>
      <c r="I460" s="2"/>
      <c r="J460" s="3"/>
      <c r="K460" s="3"/>
    </row>
    <row r="461" spans="7:11" ht="13.5" customHeight="1" x14ac:dyDescent="0.25">
      <c r="G461" s="3"/>
      <c r="H461" s="3"/>
      <c r="I461" s="2"/>
      <c r="J461" s="3"/>
      <c r="K461" s="3"/>
    </row>
    <row r="462" spans="7:11" ht="13.5" customHeight="1" x14ac:dyDescent="0.25">
      <c r="G462" s="3"/>
      <c r="H462" s="3"/>
      <c r="I462" s="2"/>
      <c r="J462" s="3"/>
      <c r="K462" s="3"/>
    </row>
    <row r="463" spans="7:11" ht="13.5" customHeight="1" x14ac:dyDescent="0.25">
      <c r="G463" s="3"/>
      <c r="H463" s="3"/>
      <c r="I463" s="2"/>
      <c r="J463" s="3"/>
      <c r="K463" s="3"/>
    </row>
    <row r="464" spans="7:11" ht="13.5" customHeight="1" x14ac:dyDescent="0.25">
      <c r="G464" s="3"/>
      <c r="H464" s="3"/>
      <c r="I464" s="2"/>
      <c r="J464" s="3"/>
      <c r="K464" s="3"/>
    </row>
    <row r="465" spans="7:11" ht="13.5" customHeight="1" x14ac:dyDescent="0.25">
      <c r="G465" s="3"/>
      <c r="H465" s="3"/>
      <c r="I465" s="2"/>
      <c r="J465" s="3"/>
      <c r="K465" s="3"/>
    </row>
    <row r="466" spans="7:11" ht="13.5" customHeight="1" x14ac:dyDescent="0.25">
      <c r="G466" s="3"/>
      <c r="H466" s="3"/>
      <c r="I466" s="2"/>
      <c r="J466" s="3"/>
      <c r="K466" s="3"/>
    </row>
    <row r="467" spans="7:11" ht="13.5" customHeight="1" x14ac:dyDescent="0.25">
      <c r="G467" s="3"/>
      <c r="H467" s="3"/>
      <c r="I467" s="2"/>
      <c r="J467" s="3"/>
      <c r="K467" s="3"/>
    </row>
    <row r="468" spans="7:11" ht="13.5" customHeight="1" x14ac:dyDescent="0.25">
      <c r="G468" s="3"/>
      <c r="H468" s="3"/>
      <c r="I468" s="2"/>
      <c r="J468" s="3"/>
      <c r="K468" s="3"/>
    </row>
    <row r="469" spans="7:11" ht="13.5" customHeight="1" x14ac:dyDescent="0.25">
      <c r="G469" s="3"/>
      <c r="H469" s="3"/>
      <c r="I469" s="2"/>
      <c r="J469" s="3"/>
      <c r="K469" s="3"/>
    </row>
    <row r="470" spans="7:11" ht="13.5" customHeight="1" x14ac:dyDescent="0.25">
      <c r="G470" s="3"/>
      <c r="H470" s="3"/>
      <c r="I470" s="2"/>
      <c r="J470" s="3"/>
      <c r="K470" s="3"/>
    </row>
    <row r="471" spans="7:11" ht="13.5" customHeight="1" x14ac:dyDescent="0.25">
      <c r="G471" s="3"/>
      <c r="H471" s="3"/>
      <c r="I471" s="2"/>
      <c r="J471" s="3"/>
      <c r="K471" s="3"/>
    </row>
    <row r="472" spans="7:11" ht="13.5" customHeight="1" x14ac:dyDescent="0.25">
      <c r="G472" s="3"/>
      <c r="H472" s="3"/>
      <c r="I472" s="2"/>
      <c r="J472" s="3"/>
      <c r="K472" s="3"/>
    </row>
    <row r="473" spans="7:11" ht="13.5" customHeight="1" x14ac:dyDescent="0.25">
      <c r="G473" s="3"/>
      <c r="H473" s="3"/>
      <c r="I473" s="2"/>
      <c r="J473" s="3"/>
      <c r="K473" s="3"/>
    </row>
    <row r="474" spans="7:11" ht="13.5" customHeight="1" x14ac:dyDescent="0.25">
      <c r="G474" s="3"/>
      <c r="H474" s="3"/>
      <c r="I474" s="2"/>
      <c r="J474" s="3"/>
      <c r="K474" s="3"/>
    </row>
    <row r="475" spans="7:11" ht="13.5" customHeight="1" x14ac:dyDescent="0.25">
      <c r="G475" s="3"/>
      <c r="H475" s="3"/>
      <c r="I475" s="2"/>
      <c r="J475" s="3"/>
      <c r="K475" s="3"/>
    </row>
    <row r="476" spans="7:11" ht="13.5" customHeight="1" x14ac:dyDescent="0.25">
      <c r="G476" s="3"/>
      <c r="H476" s="3"/>
      <c r="I476" s="2"/>
      <c r="J476" s="3"/>
      <c r="K476" s="3"/>
    </row>
    <row r="477" spans="7:11" ht="13.5" customHeight="1" x14ac:dyDescent="0.25">
      <c r="G477" s="3"/>
      <c r="H477" s="3"/>
      <c r="I477" s="2"/>
      <c r="J477" s="3"/>
      <c r="K477" s="3"/>
    </row>
    <row r="478" spans="7:11" ht="13.5" customHeight="1" x14ac:dyDescent="0.25">
      <c r="G478" s="3"/>
      <c r="H478" s="3"/>
      <c r="I478" s="2"/>
      <c r="J478" s="3"/>
      <c r="K478" s="3"/>
    </row>
    <row r="479" spans="7:11" ht="13.5" customHeight="1" x14ac:dyDescent="0.25">
      <c r="G479" s="3"/>
      <c r="H479" s="3"/>
      <c r="I479" s="2"/>
      <c r="J479" s="3"/>
      <c r="K479" s="3"/>
    </row>
    <row r="480" spans="7:11" ht="13.5" customHeight="1" x14ac:dyDescent="0.25">
      <c r="G480" s="3"/>
      <c r="H480" s="3"/>
      <c r="I480" s="2"/>
      <c r="J480" s="3"/>
      <c r="K480" s="3"/>
    </row>
    <row r="481" spans="7:11" ht="13.5" customHeight="1" x14ac:dyDescent="0.25">
      <c r="G481" s="3"/>
      <c r="H481" s="3"/>
      <c r="I481" s="2"/>
      <c r="J481" s="3"/>
      <c r="K481" s="3"/>
    </row>
    <row r="482" spans="7:11" ht="13.5" customHeight="1" x14ac:dyDescent="0.25">
      <c r="G482" s="3"/>
      <c r="H482" s="3"/>
      <c r="I482" s="2"/>
      <c r="J482" s="3"/>
      <c r="K482" s="3"/>
    </row>
    <row r="483" spans="7:11" ht="13.5" customHeight="1" x14ac:dyDescent="0.25">
      <c r="G483" s="3"/>
      <c r="H483" s="3"/>
      <c r="I483" s="2"/>
      <c r="J483" s="3"/>
      <c r="K483" s="3"/>
    </row>
    <row r="484" spans="7:11" ht="13.5" customHeight="1" x14ac:dyDescent="0.25">
      <c r="G484" s="3"/>
      <c r="H484" s="3"/>
      <c r="I484" s="2"/>
      <c r="J484" s="3"/>
      <c r="K484" s="3"/>
    </row>
    <row r="485" spans="7:11" ht="13.5" customHeight="1" x14ac:dyDescent="0.25">
      <c r="G485" s="3"/>
      <c r="H485" s="3"/>
      <c r="I485" s="2"/>
      <c r="J485" s="3"/>
      <c r="K485" s="3"/>
    </row>
    <row r="486" spans="7:11" ht="13.5" customHeight="1" x14ac:dyDescent="0.25">
      <c r="G486" s="3"/>
      <c r="H486" s="3"/>
      <c r="I486" s="2"/>
      <c r="J486" s="3"/>
      <c r="K486" s="3"/>
    </row>
    <row r="487" spans="7:11" ht="13.5" customHeight="1" x14ac:dyDescent="0.25">
      <c r="G487" s="3"/>
      <c r="H487" s="3"/>
      <c r="I487" s="2"/>
      <c r="J487" s="3"/>
      <c r="K487" s="3"/>
    </row>
    <row r="488" spans="7:11" ht="13.5" customHeight="1" x14ac:dyDescent="0.25">
      <c r="G488" s="3"/>
      <c r="H488" s="3"/>
      <c r="I488" s="2"/>
      <c r="J488" s="3"/>
      <c r="K488" s="3"/>
    </row>
    <row r="489" spans="7:11" ht="13.5" customHeight="1" x14ac:dyDescent="0.25">
      <c r="G489" s="3"/>
      <c r="H489" s="3"/>
      <c r="I489" s="2"/>
      <c r="J489" s="3"/>
      <c r="K489" s="3"/>
    </row>
    <row r="490" spans="7:11" ht="13.5" customHeight="1" x14ac:dyDescent="0.25">
      <c r="G490" s="3"/>
      <c r="H490" s="3"/>
      <c r="I490" s="2"/>
      <c r="J490" s="3"/>
      <c r="K490" s="3"/>
    </row>
    <row r="491" spans="7:11" ht="13.5" customHeight="1" x14ac:dyDescent="0.25">
      <c r="G491" s="3"/>
      <c r="H491" s="3"/>
      <c r="I491" s="2"/>
      <c r="J491" s="3"/>
      <c r="K491" s="3"/>
    </row>
    <row r="492" spans="7:11" ht="13.5" customHeight="1" x14ac:dyDescent="0.25">
      <c r="G492" s="3"/>
      <c r="H492" s="3"/>
      <c r="I492" s="2"/>
      <c r="J492" s="3"/>
      <c r="K492" s="3"/>
    </row>
    <row r="493" spans="7:11" ht="13.5" customHeight="1" x14ac:dyDescent="0.25">
      <c r="G493" s="3"/>
      <c r="H493" s="3"/>
      <c r="I493" s="2"/>
      <c r="J493" s="3"/>
      <c r="K493" s="3"/>
    </row>
    <row r="494" spans="7:11" ht="13.5" customHeight="1" x14ac:dyDescent="0.25">
      <c r="G494" s="3"/>
      <c r="H494" s="3"/>
      <c r="I494" s="2"/>
      <c r="J494" s="3"/>
      <c r="K494" s="3"/>
    </row>
    <row r="495" spans="7:11" ht="13.5" customHeight="1" x14ac:dyDescent="0.25">
      <c r="G495" s="3"/>
      <c r="H495" s="3"/>
      <c r="I495" s="2"/>
      <c r="J495" s="3"/>
      <c r="K495" s="3"/>
    </row>
    <row r="496" spans="7:11" ht="13.5" customHeight="1" x14ac:dyDescent="0.25">
      <c r="G496" s="3"/>
      <c r="H496" s="3"/>
      <c r="I496" s="2"/>
      <c r="J496" s="3"/>
      <c r="K496" s="3"/>
    </row>
    <row r="497" spans="7:11" ht="13.5" customHeight="1" x14ac:dyDescent="0.25">
      <c r="G497" s="3"/>
      <c r="H497" s="3"/>
      <c r="I497" s="2"/>
      <c r="J497" s="3"/>
      <c r="K497" s="3"/>
    </row>
    <row r="498" spans="7:11" ht="13.5" customHeight="1" x14ac:dyDescent="0.25">
      <c r="G498" s="3"/>
      <c r="H498" s="3"/>
      <c r="I498" s="2"/>
      <c r="J498" s="3"/>
      <c r="K498" s="3"/>
    </row>
    <row r="499" spans="7:11" ht="13.5" customHeight="1" x14ac:dyDescent="0.25">
      <c r="G499" s="3"/>
      <c r="H499" s="3"/>
      <c r="I499" s="2"/>
      <c r="J499" s="3"/>
      <c r="K499" s="3"/>
    </row>
    <row r="500" spans="7:11" ht="13.5" customHeight="1" x14ac:dyDescent="0.25">
      <c r="G500" s="3"/>
      <c r="H500" s="3"/>
      <c r="I500" s="2"/>
      <c r="J500" s="3"/>
      <c r="K500" s="3"/>
    </row>
    <row r="501" spans="7:11" ht="13.5" customHeight="1" x14ac:dyDescent="0.25">
      <c r="G501" s="3"/>
      <c r="H501" s="3"/>
      <c r="I501" s="2"/>
      <c r="J501" s="3"/>
      <c r="K501" s="3"/>
    </row>
    <row r="502" spans="7:11" ht="13.5" customHeight="1" x14ac:dyDescent="0.25">
      <c r="G502" s="3"/>
      <c r="H502" s="3"/>
      <c r="I502" s="2"/>
      <c r="J502" s="3"/>
      <c r="K502" s="3"/>
    </row>
    <row r="503" spans="7:11" ht="13.5" customHeight="1" x14ac:dyDescent="0.25">
      <c r="G503" s="3"/>
      <c r="H503" s="3"/>
      <c r="I503" s="2"/>
      <c r="J503" s="3"/>
      <c r="K503" s="3"/>
    </row>
    <row r="504" spans="7:11" ht="13.5" customHeight="1" x14ac:dyDescent="0.25">
      <c r="G504" s="3"/>
      <c r="H504" s="3"/>
      <c r="I504" s="2"/>
      <c r="J504" s="3"/>
      <c r="K504" s="3"/>
    </row>
    <row r="505" spans="7:11" ht="13.5" customHeight="1" x14ac:dyDescent="0.25">
      <c r="G505" s="3"/>
      <c r="H505" s="3"/>
      <c r="I505" s="2"/>
      <c r="J505" s="3"/>
      <c r="K505" s="3"/>
    </row>
    <row r="506" spans="7:11" ht="13.5" customHeight="1" x14ac:dyDescent="0.25">
      <c r="G506" s="3"/>
      <c r="H506" s="3"/>
      <c r="I506" s="2"/>
      <c r="J506" s="3"/>
      <c r="K506" s="3"/>
    </row>
    <row r="507" spans="7:11" ht="13.5" customHeight="1" x14ac:dyDescent="0.25">
      <c r="G507" s="3"/>
      <c r="H507" s="3"/>
      <c r="I507" s="2"/>
      <c r="J507" s="3"/>
      <c r="K507" s="3"/>
    </row>
    <row r="508" spans="7:11" ht="13.5" customHeight="1" x14ac:dyDescent="0.25">
      <c r="G508" s="3"/>
      <c r="H508" s="3"/>
      <c r="I508" s="2"/>
      <c r="J508" s="3"/>
      <c r="K508" s="3"/>
    </row>
    <row r="509" spans="7:11" ht="13.5" customHeight="1" x14ac:dyDescent="0.25">
      <c r="G509" s="3"/>
      <c r="H509" s="3"/>
      <c r="I509" s="2"/>
      <c r="J509" s="3"/>
      <c r="K509" s="3"/>
    </row>
    <row r="510" spans="7:11" ht="13.5" customHeight="1" x14ac:dyDescent="0.25">
      <c r="G510" s="3"/>
      <c r="H510" s="3"/>
      <c r="I510" s="2"/>
      <c r="J510" s="3"/>
      <c r="K510" s="3"/>
    </row>
    <row r="511" spans="7:11" ht="13.5" customHeight="1" x14ac:dyDescent="0.25">
      <c r="G511" s="3"/>
      <c r="H511" s="3"/>
      <c r="I511" s="2"/>
      <c r="J511" s="3"/>
      <c r="K511" s="3"/>
    </row>
    <row r="512" spans="7:11" ht="13.5" customHeight="1" x14ac:dyDescent="0.25">
      <c r="G512" s="3"/>
      <c r="H512" s="3"/>
      <c r="I512" s="2"/>
      <c r="J512" s="3"/>
      <c r="K512" s="3"/>
    </row>
    <row r="513" spans="7:11" ht="13.5" customHeight="1" x14ac:dyDescent="0.25">
      <c r="G513" s="3"/>
      <c r="H513" s="3"/>
      <c r="I513" s="2"/>
      <c r="J513" s="3"/>
      <c r="K513" s="3"/>
    </row>
    <row r="514" spans="7:11" ht="13.5" customHeight="1" x14ac:dyDescent="0.25">
      <c r="G514" s="3"/>
      <c r="H514" s="3"/>
      <c r="I514" s="2"/>
      <c r="J514" s="3"/>
      <c r="K514" s="3"/>
    </row>
    <row r="515" spans="7:11" ht="13.5" customHeight="1" x14ac:dyDescent="0.25">
      <c r="G515" s="3"/>
      <c r="H515" s="3"/>
      <c r="I515" s="2"/>
      <c r="J515" s="3"/>
      <c r="K515" s="3"/>
    </row>
    <row r="516" spans="7:11" ht="13.5" customHeight="1" x14ac:dyDescent="0.25">
      <c r="G516" s="3"/>
      <c r="H516" s="3"/>
      <c r="I516" s="2"/>
      <c r="J516" s="3"/>
      <c r="K516" s="3"/>
    </row>
    <row r="517" spans="7:11" ht="13.5" customHeight="1" x14ac:dyDescent="0.25">
      <c r="G517" s="3"/>
      <c r="H517" s="3"/>
      <c r="I517" s="2"/>
      <c r="J517" s="3"/>
      <c r="K517" s="3"/>
    </row>
    <row r="518" spans="7:11" ht="13.5" customHeight="1" x14ac:dyDescent="0.25">
      <c r="G518" s="3"/>
      <c r="H518" s="3"/>
      <c r="I518" s="2"/>
      <c r="J518" s="3"/>
      <c r="K518" s="3"/>
    </row>
    <row r="519" spans="7:11" ht="13.5" customHeight="1" x14ac:dyDescent="0.25">
      <c r="G519" s="3"/>
      <c r="H519" s="3"/>
      <c r="I519" s="2"/>
      <c r="J519" s="3"/>
      <c r="K519" s="3"/>
    </row>
    <row r="520" spans="7:11" ht="13.5" customHeight="1" x14ac:dyDescent="0.25">
      <c r="G520" s="3"/>
      <c r="H520" s="3"/>
      <c r="I520" s="2"/>
      <c r="J520" s="3"/>
      <c r="K520" s="3"/>
    </row>
    <row r="521" spans="7:11" ht="13.5" customHeight="1" x14ac:dyDescent="0.25">
      <c r="G521" s="3"/>
      <c r="H521" s="3"/>
      <c r="I521" s="2"/>
      <c r="J521" s="3"/>
      <c r="K521" s="3"/>
    </row>
    <row r="522" spans="7:11" ht="13.5" customHeight="1" x14ac:dyDescent="0.25">
      <c r="G522" s="3"/>
      <c r="H522" s="3"/>
      <c r="I522" s="2"/>
      <c r="J522" s="3"/>
      <c r="K522" s="3"/>
    </row>
    <row r="523" spans="7:11" ht="13.5" customHeight="1" x14ac:dyDescent="0.25">
      <c r="G523" s="3"/>
      <c r="H523" s="3"/>
      <c r="I523" s="2"/>
      <c r="J523" s="3"/>
      <c r="K523" s="3"/>
    </row>
    <row r="524" spans="7:11" ht="13.5" customHeight="1" x14ac:dyDescent="0.25">
      <c r="G524" s="3"/>
      <c r="H524" s="3"/>
      <c r="I524" s="2"/>
      <c r="J524" s="3"/>
      <c r="K524" s="3"/>
    </row>
    <row r="525" spans="7:11" ht="13.5" customHeight="1" x14ac:dyDescent="0.25">
      <c r="G525" s="3"/>
      <c r="H525" s="3"/>
      <c r="I525" s="2"/>
      <c r="J525" s="3"/>
      <c r="K525" s="3"/>
    </row>
    <row r="526" spans="7:11" ht="13.5" customHeight="1" x14ac:dyDescent="0.25">
      <c r="G526" s="3"/>
      <c r="H526" s="3"/>
      <c r="I526" s="2"/>
      <c r="J526" s="3"/>
      <c r="K526" s="3"/>
    </row>
    <row r="527" spans="7:11" ht="13.5" customHeight="1" x14ac:dyDescent="0.25">
      <c r="G527" s="3"/>
      <c r="H527" s="3"/>
      <c r="I527" s="2"/>
      <c r="J527" s="3"/>
      <c r="K527" s="3"/>
    </row>
    <row r="528" spans="7:11" ht="13.5" customHeight="1" x14ac:dyDescent="0.25">
      <c r="G528" s="3"/>
      <c r="H528" s="3"/>
      <c r="I528" s="2"/>
      <c r="J528" s="3"/>
      <c r="K528" s="3"/>
    </row>
    <row r="529" spans="7:11" ht="13.5" customHeight="1" x14ac:dyDescent="0.25">
      <c r="G529" s="3"/>
      <c r="H529" s="3"/>
      <c r="I529" s="2"/>
      <c r="J529" s="3"/>
      <c r="K529" s="3"/>
    </row>
    <row r="530" spans="7:11" ht="13.5" customHeight="1" x14ac:dyDescent="0.25">
      <c r="G530" s="3"/>
      <c r="H530" s="3"/>
      <c r="I530" s="2"/>
      <c r="J530" s="3"/>
      <c r="K530" s="3"/>
    </row>
    <row r="531" spans="7:11" ht="13.5" customHeight="1" x14ac:dyDescent="0.25">
      <c r="G531" s="3"/>
      <c r="H531" s="3"/>
      <c r="I531" s="2"/>
      <c r="J531" s="3"/>
      <c r="K531" s="3"/>
    </row>
    <row r="532" spans="7:11" ht="13.5" customHeight="1" x14ac:dyDescent="0.25">
      <c r="G532" s="3"/>
      <c r="H532" s="3"/>
      <c r="I532" s="2"/>
      <c r="J532" s="3"/>
      <c r="K532" s="3"/>
    </row>
    <row r="533" spans="7:11" ht="13.5" customHeight="1" x14ac:dyDescent="0.25">
      <c r="G533" s="3"/>
      <c r="H533" s="3"/>
      <c r="I533" s="2"/>
      <c r="J533" s="3"/>
      <c r="K533" s="3"/>
    </row>
    <row r="534" spans="7:11" ht="13.5" customHeight="1" x14ac:dyDescent="0.25">
      <c r="G534" s="3"/>
      <c r="H534" s="3"/>
      <c r="I534" s="2"/>
      <c r="J534" s="3"/>
      <c r="K534" s="3"/>
    </row>
    <row r="535" spans="7:11" ht="13.5" customHeight="1" x14ac:dyDescent="0.25">
      <c r="G535" s="3"/>
      <c r="H535" s="3"/>
      <c r="I535" s="2"/>
      <c r="J535" s="3"/>
      <c r="K535" s="3"/>
    </row>
    <row r="536" spans="7:11" ht="13.5" customHeight="1" x14ac:dyDescent="0.25">
      <c r="G536" s="3"/>
      <c r="H536" s="3"/>
      <c r="I536" s="2"/>
      <c r="J536" s="3"/>
      <c r="K536" s="3"/>
    </row>
    <row r="537" spans="7:11" ht="13.5" customHeight="1" x14ac:dyDescent="0.25">
      <c r="G537" s="3"/>
      <c r="H537" s="3"/>
      <c r="I537" s="2"/>
      <c r="J537" s="3"/>
      <c r="K537" s="3"/>
    </row>
    <row r="538" spans="7:11" ht="13.5" customHeight="1" x14ac:dyDescent="0.25">
      <c r="G538" s="3"/>
      <c r="H538" s="3"/>
      <c r="I538" s="2"/>
      <c r="J538" s="3"/>
      <c r="K538" s="3"/>
    </row>
    <row r="539" spans="7:11" ht="13.5" customHeight="1" x14ac:dyDescent="0.25">
      <c r="G539" s="3"/>
      <c r="H539" s="3"/>
      <c r="I539" s="2"/>
      <c r="J539" s="3"/>
      <c r="K539" s="3"/>
    </row>
    <row r="540" spans="7:11" ht="13.5" customHeight="1" x14ac:dyDescent="0.25">
      <c r="G540" s="3"/>
      <c r="H540" s="3"/>
      <c r="I540" s="2"/>
      <c r="J540" s="3"/>
      <c r="K540" s="3"/>
    </row>
    <row r="541" spans="7:11" ht="13.5" customHeight="1" x14ac:dyDescent="0.25">
      <c r="G541" s="3"/>
      <c r="H541" s="3"/>
      <c r="I541" s="2"/>
      <c r="J541" s="3"/>
      <c r="K541" s="3"/>
    </row>
    <row r="542" spans="7:11" ht="13.5" customHeight="1" x14ac:dyDescent="0.25">
      <c r="G542" s="3"/>
      <c r="H542" s="3"/>
      <c r="I542" s="2"/>
      <c r="J542" s="3"/>
      <c r="K542" s="3"/>
    </row>
    <row r="543" spans="7:11" ht="13.5" customHeight="1" x14ac:dyDescent="0.25">
      <c r="G543" s="3"/>
      <c r="H543" s="3"/>
      <c r="I543" s="2"/>
      <c r="J543" s="3"/>
      <c r="K543" s="3"/>
    </row>
    <row r="544" spans="7:11" ht="13.5" customHeight="1" x14ac:dyDescent="0.25">
      <c r="G544" s="3"/>
      <c r="H544" s="3"/>
      <c r="I544" s="2"/>
      <c r="J544" s="3"/>
      <c r="K544" s="3"/>
    </row>
    <row r="545" spans="7:11" ht="13.5" customHeight="1" x14ac:dyDescent="0.25">
      <c r="G545" s="3"/>
      <c r="H545" s="3"/>
      <c r="I545" s="2"/>
      <c r="J545" s="3"/>
      <c r="K545" s="3"/>
    </row>
    <row r="546" spans="7:11" ht="13.5" customHeight="1" x14ac:dyDescent="0.25">
      <c r="G546" s="3"/>
      <c r="H546" s="3"/>
      <c r="I546" s="2"/>
      <c r="J546" s="3"/>
      <c r="K546" s="3"/>
    </row>
    <row r="547" spans="7:11" ht="13.5" customHeight="1" x14ac:dyDescent="0.25">
      <c r="G547" s="3"/>
      <c r="H547" s="3"/>
      <c r="I547" s="2"/>
      <c r="J547" s="3"/>
      <c r="K547" s="3"/>
    </row>
    <row r="548" spans="7:11" ht="13.5" customHeight="1" x14ac:dyDescent="0.25">
      <c r="G548" s="3"/>
      <c r="H548" s="3"/>
      <c r="I548" s="2"/>
      <c r="J548" s="3"/>
      <c r="K548" s="3"/>
    </row>
    <row r="549" spans="7:11" ht="13.5" customHeight="1" x14ac:dyDescent="0.25">
      <c r="G549" s="3"/>
      <c r="H549" s="3"/>
      <c r="I549" s="2"/>
      <c r="J549" s="3"/>
      <c r="K549" s="3"/>
    </row>
    <row r="550" spans="7:11" ht="13.5" customHeight="1" x14ac:dyDescent="0.25">
      <c r="G550" s="3"/>
      <c r="H550" s="3"/>
      <c r="I550" s="2"/>
      <c r="J550" s="3"/>
      <c r="K550" s="3"/>
    </row>
    <row r="551" spans="7:11" ht="13.5" customHeight="1" x14ac:dyDescent="0.25">
      <c r="G551" s="3"/>
      <c r="H551" s="3"/>
      <c r="I551" s="2"/>
      <c r="J551" s="3"/>
      <c r="K551" s="3"/>
    </row>
    <row r="552" spans="7:11" ht="13.5" customHeight="1" x14ac:dyDescent="0.25">
      <c r="G552" s="3"/>
      <c r="H552" s="3"/>
      <c r="I552" s="2"/>
      <c r="J552" s="3"/>
      <c r="K552" s="3"/>
    </row>
    <row r="553" spans="7:11" ht="13.5" customHeight="1" x14ac:dyDescent="0.25">
      <c r="G553" s="3"/>
      <c r="H553" s="3"/>
      <c r="I553" s="2"/>
      <c r="J553" s="3"/>
      <c r="K553" s="3"/>
    </row>
    <row r="554" spans="7:11" ht="13.5" customHeight="1" x14ac:dyDescent="0.25">
      <c r="G554" s="3"/>
      <c r="H554" s="3"/>
      <c r="I554" s="2"/>
      <c r="J554" s="3"/>
      <c r="K554" s="3"/>
    </row>
    <row r="555" spans="7:11" ht="13.5" customHeight="1" x14ac:dyDescent="0.25">
      <c r="G555" s="3"/>
      <c r="H555" s="3"/>
      <c r="I555" s="2"/>
      <c r="J555" s="3"/>
      <c r="K555" s="3"/>
    </row>
    <row r="556" spans="7:11" ht="13.5" customHeight="1" x14ac:dyDescent="0.25">
      <c r="G556" s="3"/>
      <c r="H556" s="3"/>
      <c r="I556" s="2"/>
      <c r="J556" s="3"/>
      <c r="K556" s="3"/>
    </row>
    <row r="557" spans="7:11" ht="13.5" customHeight="1" x14ac:dyDescent="0.25">
      <c r="G557" s="3"/>
      <c r="H557" s="3"/>
      <c r="I557" s="2"/>
      <c r="J557" s="3"/>
      <c r="K557" s="3"/>
    </row>
    <row r="558" spans="7:11" ht="13.5" customHeight="1" x14ac:dyDescent="0.25">
      <c r="G558" s="3"/>
      <c r="H558" s="3"/>
      <c r="I558" s="2"/>
      <c r="J558" s="3"/>
      <c r="K558" s="3"/>
    </row>
    <row r="559" spans="7:11" ht="13.5" customHeight="1" x14ac:dyDescent="0.25">
      <c r="G559" s="3"/>
      <c r="H559" s="3"/>
      <c r="I559" s="2"/>
      <c r="J559" s="3"/>
      <c r="K559" s="3"/>
    </row>
    <row r="560" spans="7:11" ht="13.5" customHeight="1" x14ac:dyDescent="0.25">
      <c r="G560" s="3"/>
      <c r="H560" s="3"/>
      <c r="I560" s="2"/>
      <c r="J560" s="3"/>
      <c r="K560" s="3"/>
    </row>
    <row r="561" spans="7:11" ht="13.5" customHeight="1" x14ac:dyDescent="0.25">
      <c r="G561" s="3"/>
      <c r="H561" s="3"/>
      <c r="I561" s="2"/>
      <c r="J561" s="3"/>
      <c r="K561" s="3"/>
    </row>
    <row r="562" spans="7:11" ht="13.5" customHeight="1" x14ac:dyDescent="0.25">
      <c r="G562" s="3"/>
      <c r="H562" s="3"/>
      <c r="I562" s="2"/>
      <c r="J562" s="3"/>
      <c r="K562" s="3"/>
    </row>
    <row r="563" spans="7:11" ht="13.5" customHeight="1" x14ac:dyDescent="0.25">
      <c r="G563" s="3"/>
      <c r="H563" s="3"/>
      <c r="I563" s="2"/>
      <c r="J563" s="3"/>
      <c r="K563" s="3"/>
    </row>
    <row r="564" spans="7:11" ht="13.5" customHeight="1" x14ac:dyDescent="0.25">
      <c r="G564" s="3"/>
      <c r="H564" s="3"/>
      <c r="I564" s="2"/>
      <c r="J564" s="3"/>
      <c r="K564" s="3"/>
    </row>
    <row r="565" spans="7:11" ht="13.5" customHeight="1" x14ac:dyDescent="0.25">
      <c r="G565" s="3"/>
      <c r="H565" s="3"/>
      <c r="I565" s="2"/>
      <c r="J565" s="3"/>
      <c r="K565" s="3"/>
    </row>
    <row r="566" spans="7:11" ht="13.5" customHeight="1" x14ac:dyDescent="0.25">
      <c r="G566" s="3"/>
      <c r="H566" s="3"/>
      <c r="I566" s="2"/>
      <c r="J566" s="3"/>
      <c r="K566" s="3"/>
    </row>
    <row r="567" spans="7:11" ht="13.5" customHeight="1" x14ac:dyDescent="0.25">
      <c r="G567" s="3"/>
      <c r="H567" s="3"/>
      <c r="I567" s="2"/>
      <c r="J567" s="3"/>
      <c r="K567" s="3"/>
    </row>
    <row r="568" spans="7:11" ht="13.5" customHeight="1" x14ac:dyDescent="0.25">
      <c r="G568" s="3"/>
      <c r="H568" s="3"/>
      <c r="I568" s="2"/>
      <c r="J568" s="3"/>
      <c r="K568" s="3"/>
    </row>
    <row r="569" spans="7:11" ht="13.5" customHeight="1" x14ac:dyDescent="0.25">
      <c r="G569" s="3"/>
      <c r="H569" s="3"/>
      <c r="I569" s="2"/>
      <c r="J569" s="3"/>
      <c r="K569" s="3"/>
    </row>
    <row r="570" spans="7:11" ht="13.5" customHeight="1" x14ac:dyDescent="0.25">
      <c r="G570" s="3"/>
      <c r="H570" s="3"/>
      <c r="I570" s="2"/>
      <c r="J570" s="3"/>
      <c r="K570" s="3"/>
    </row>
    <row r="571" spans="7:11" ht="13.5" customHeight="1" x14ac:dyDescent="0.25">
      <c r="G571" s="3"/>
      <c r="H571" s="3"/>
      <c r="I571" s="2"/>
      <c r="J571" s="3"/>
      <c r="K571" s="3"/>
    </row>
    <row r="572" spans="7:11" ht="13.5" customHeight="1" x14ac:dyDescent="0.25">
      <c r="G572" s="3"/>
      <c r="H572" s="3"/>
      <c r="I572" s="2"/>
      <c r="J572" s="3"/>
      <c r="K572" s="3"/>
    </row>
    <row r="573" spans="7:11" ht="13.5" customHeight="1" x14ac:dyDescent="0.25">
      <c r="G573" s="3"/>
      <c r="H573" s="3"/>
      <c r="I573" s="2"/>
      <c r="J573" s="3"/>
      <c r="K573" s="3"/>
    </row>
    <row r="574" spans="7:11" ht="13.5" customHeight="1" x14ac:dyDescent="0.25">
      <c r="G574" s="3"/>
      <c r="H574" s="3"/>
      <c r="I574" s="2"/>
      <c r="J574" s="3"/>
      <c r="K574" s="3"/>
    </row>
    <row r="575" spans="7:11" ht="13.5" customHeight="1" x14ac:dyDescent="0.25">
      <c r="G575" s="3"/>
      <c r="H575" s="3"/>
      <c r="I575" s="2"/>
      <c r="J575" s="3"/>
      <c r="K575" s="3"/>
    </row>
    <row r="576" spans="7:11" ht="13.5" customHeight="1" x14ac:dyDescent="0.25">
      <c r="G576" s="3"/>
      <c r="H576" s="3"/>
      <c r="I576" s="2"/>
      <c r="J576" s="3"/>
      <c r="K576" s="3"/>
    </row>
    <row r="577" spans="7:11" ht="13.5" customHeight="1" x14ac:dyDescent="0.25">
      <c r="G577" s="3"/>
      <c r="H577" s="3"/>
      <c r="I577" s="2"/>
      <c r="J577" s="3"/>
      <c r="K577" s="3"/>
    </row>
    <row r="578" spans="7:11" ht="13.5" customHeight="1" x14ac:dyDescent="0.25">
      <c r="G578" s="3"/>
      <c r="H578" s="3"/>
      <c r="I578" s="2"/>
      <c r="J578" s="3"/>
      <c r="K578" s="3"/>
    </row>
    <row r="579" spans="7:11" ht="13.5" customHeight="1" x14ac:dyDescent="0.25">
      <c r="G579" s="3"/>
      <c r="H579" s="3"/>
      <c r="I579" s="2"/>
      <c r="J579" s="3"/>
      <c r="K579" s="3"/>
    </row>
    <row r="580" spans="7:11" ht="13.5" customHeight="1" x14ac:dyDescent="0.25">
      <c r="G580" s="3"/>
      <c r="H580" s="3"/>
      <c r="I580" s="2"/>
      <c r="J580" s="3"/>
      <c r="K580" s="3"/>
    </row>
    <row r="581" spans="7:11" ht="13.5" customHeight="1" x14ac:dyDescent="0.25">
      <c r="G581" s="3"/>
      <c r="H581" s="3"/>
      <c r="I581" s="2"/>
      <c r="J581" s="3"/>
      <c r="K581" s="3"/>
    </row>
    <row r="582" spans="7:11" ht="13.5" customHeight="1" x14ac:dyDescent="0.25">
      <c r="G582" s="3"/>
      <c r="H582" s="3"/>
      <c r="I582" s="2"/>
      <c r="J582" s="3"/>
      <c r="K582" s="3"/>
    </row>
    <row r="583" spans="7:11" ht="13.5" customHeight="1" x14ac:dyDescent="0.25">
      <c r="G583" s="3"/>
      <c r="H583" s="3"/>
      <c r="I583" s="2"/>
      <c r="J583" s="3"/>
      <c r="K583" s="3"/>
    </row>
    <row r="584" spans="7:11" ht="13.5" customHeight="1" x14ac:dyDescent="0.25">
      <c r="G584" s="3"/>
      <c r="H584" s="3"/>
      <c r="I584" s="2"/>
      <c r="J584" s="3"/>
      <c r="K584" s="3"/>
    </row>
    <row r="585" spans="7:11" ht="13.5" customHeight="1" x14ac:dyDescent="0.25">
      <c r="G585" s="3"/>
      <c r="H585" s="3"/>
      <c r="I585" s="2"/>
      <c r="J585" s="3"/>
      <c r="K585" s="3"/>
    </row>
    <row r="586" spans="7:11" ht="13.5" customHeight="1" x14ac:dyDescent="0.25">
      <c r="G586" s="3"/>
      <c r="H586" s="3"/>
      <c r="I586" s="2"/>
      <c r="J586" s="3"/>
      <c r="K586" s="3"/>
    </row>
    <row r="587" spans="7:11" ht="13.5" customHeight="1" x14ac:dyDescent="0.25">
      <c r="G587" s="3"/>
      <c r="H587" s="3"/>
      <c r="I587" s="2"/>
      <c r="J587" s="3"/>
      <c r="K587" s="3"/>
    </row>
    <row r="588" spans="7:11" ht="13.5" customHeight="1" x14ac:dyDescent="0.25">
      <c r="G588" s="3"/>
      <c r="H588" s="3"/>
      <c r="I588" s="2"/>
      <c r="J588" s="3"/>
      <c r="K588" s="3"/>
    </row>
    <row r="589" spans="7:11" ht="13.5" customHeight="1" x14ac:dyDescent="0.25">
      <c r="G589" s="3"/>
      <c r="H589" s="3"/>
      <c r="I589" s="2"/>
      <c r="J589" s="3"/>
      <c r="K589" s="3"/>
    </row>
    <row r="590" spans="7:11" ht="13.5" customHeight="1" x14ac:dyDescent="0.25">
      <c r="G590" s="3"/>
      <c r="H590" s="3"/>
      <c r="I590" s="2"/>
      <c r="J590" s="3"/>
      <c r="K590" s="3"/>
    </row>
    <row r="591" spans="7:11" ht="13.5" customHeight="1" x14ac:dyDescent="0.25">
      <c r="G591" s="3"/>
      <c r="H591" s="3"/>
      <c r="I591" s="2"/>
      <c r="J591" s="3"/>
      <c r="K591" s="3"/>
    </row>
    <row r="592" spans="7:11" ht="13.5" customHeight="1" x14ac:dyDescent="0.25">
      <c r="G592" s="3"/>
      <c r="H592" s="3"/>
      <c r="I592" s="2"/>
      <c r="J592" s="3"/>
      <c r="K592" s="3"/>
    </row>
    <row r="593" spans="7:11" ht="13.5" customHeight="1" x14ac:dyDescent="0.25">
      <c r="G593" s="3"/>
      <c r="H593" s="3"/>
      <c r="I593" s="2"/>
      <c r="J593" s="3"/>
      <c r="K593" s="3"/>
    </row>
    <row r="594" spans="7:11" ht="13.5" customHeight="1" x14ac:dyDescent="0.25">
      <c r="G594" s="3"/>
      <c r="H594" s="3"/>
      <c r="I594" s="2"/>
      <c r="J594" s="3"/>
      <c r="K594" s="3"/>
    </row>
    <row r="595" spans="7:11" ht="13.5" customHeight="1" x14ac:dyDescent="0.25">
      <c r="G595" s="3"/>
      <c r="H595" s="3"/>
      <c r="I595" s="2"/>
      <c r="J595" s="3"/>
      <c r="K595" s="3"/>
    </row>
    <row r="596" spans="7:11" ht="13.5" customHeight="1" x14ac:dyDescent="0.25">
      <c r="G596" s="3"/>
      <c r="H596" s="3"/>
      <c r="I596" s="2"/>
      <c r="J596" s="3"/>
      <c r="K596" s="3"/>
    </row>
    <row r="597" spans="7:11" ht="13.5" customHeight="1" x14ac:dyDescent="0.25">
      <c r="G597" s="3"/>
      <c r="H597" s="3"/>
      <c r="I597" s="2"/>
      <c r="J597" s="3"/>
      <c r="K597" s="3"/>
    </row>
    <row r="598" spans="7:11" ht="13.5" customHeight="1" x14ac:dyDescent="0.25">
      <c r="G598" s="3"/>
      <c r="H598" s="3"/>
      <c r="I598" s="2"/>
      <c r="J598" s="3"/>
      <c r="K598" s="3"/>
    </row>
    <row r="599" spans="7:11" ht="13.5" customHeight="1" x14ac:dyDescent="0.25">
      <c r="G599" s="3"/>
      <c r="H599" s="3"/>
      <c r="I599" s="2"/>
      <c r="J599" s="3"/>
      <c r="K599" s="3"/>
    </row>
    <row r="600" spans="7:11" ht="13.5" customHeight="1" x14ac:dyDescent="0.25">
      <c r="G600" s="3"/>
      <c r="H600" s="3"/>
      <c r="I600" s="2"/>
      <c r="J600" s="3"/>
      <c r="K600" s="3"/>
    </row>
    <row r="601" spans="7:11" ht="13.5" customHeight="1" x14ac:dyDescent="0.25">
      <c r="G601" s="3"/>
      <c r="H601" s="3"/>
      <c r="I601" s="2"/>
      <c r="J601" s="3"/>
      <c r="K601" s="3"/>
    </row>
    <row r="602" spans="7:11" ht="13.5" customHeight="1" x14ac:dyDescent="0.25">
      <c r="G602" s="3"/>
      <c r="H602" s="3"/>
      <c r="I602" s="2"/>
      <c r="J602" s="3"/>
      <c r="K602" s="3"/>
    </row>
    <row r="603" spans="7:11" ht="13.5" customHeight="1" x14ac:dyDescent="0.25">
      <c r="G603" s="3"/>
      <c r="H603" s="3"/>
      <c r="I603" s="2"/>
      <c r="J603" s="3"/>
      <c r="K603" s="3"/>
    </row>
    <row r="604" spans="7:11" ht="13.5" customHeight="1" x14ac:dyDescent="0.25">
      <c r="G604" s="3"/>
      <c r="H604" s="3"/>
      <c r="I604" s="2"/>
      <c r="J604" s="3"/>
      <c r="K604" s="3"/>
    </row>
    <row r="605" spans="7:11" ht="13.5" customHeight="1" x14ac:dyDescent="0.25">
      <c r="G605" s="3"/>
      <c r="H605" s="3"/>
      <c r="I605" s="2"/>
      <c r="J605" s="3"/>
      <c r="K605" s="3"/>
    </row>
    <row r="606" spans="7:11" ht="13.5" customHeight="1" x14ac:dyDescent="0.25">
      <c r="G606" s="3"/>
      <c r="H606" s="3"/>
      <c r="I606" s="2"/>
      <c r="J606" s="3"/>
      <c r="K606" s="3"/>
    </row>
    <row r="607" spans="7:11" ht="13.5" customHeight="1" x14ac:dyDescent="0.25">
      <c r="G607" s="3"/>
      <c r="H607" s="3"/>
      <c r="I607" s="2"/>
      <c r="J607" s="3"/>
      <c r="K607" s="3"/>
    </row>
    <row r="608" spans="7:11" ht="13.5" customHeight="1" x14ac:dyDescent="0.25">
      <c r="G608" s="3"/>
      <c r="H608" s="3"/>
      <c r="I608" s="2"/>
      <c r="J608" s="3"/>
      <c r="K608" s="3"/>
    </row>
    <row r="609" spans="7:11" ht="13.5" customHeight="1" x14ac:dyDescent="0.25">
      <c r="G609" s="3"/>
      <c r="H609" s="3"/>
      <c r="I609" s="2"/>
      <c r="J609" s="3"/>
      <c r="K609" s="3"/>
    </row>
    <row r="610" spans="7:11" ht="13.5" customHeight="1" x14ac:dyDescent="0.25">
      <c r="G610" s="3"/>
      <c r="H610" s="3"/>
      <c r="I610" s="2"/>
      <c r="J610" s="3"/>
      <c r="K610" s="3"/>
    </row>
    <row r="611" spans="7:11" ht="13.5" customHeight="1" x14ac:dyDescent="0.25">
      <c r="G611" s="3"/>
      <c r="H611" s="3"/>
      <c r="I611" s="2"/>
      <c r="J611" s="3"/>
      <c r="K611" s="3"/>
    </row>
    <row r="612" spans="7:11" ht="13.5" customHeight="1" x14ac:dyDescent="0.25">
      <c r="G612" s="3"/>
      <c r="H612" s="3"/>
      <c r="I612" s="2"/>
      <c r="J612" s="3"/>
      <c r="K612" s="3"/>
    </row>
    <row r="613" spans="7:11" ht="13.5" customHeight="1" x14ac:dyDescent="0.25">
      <c r="G613" s="3"/>
      <c r="H613" s="3"/>
      <c r="I613" s="2"/>
      <c r="J613" s="3"/>
      <c r="K613" s="3"/>
    </row>
    <row r="614" spans="7:11" ht="13.5" customHeight="1" x14ac:dyDescent="0.25">
      <c r="G614" s="3"/>
      <c r="H614" s="3"/>
      <c r="I614" s="2"/>
      <c r="J614" s="3"/>
      <c r="K614" s="3"/>
    </row>
    <row r="615" spans="7:11" ht="13.5" customHeight="1" x14ac:dyDescent="0.25">
      <c r="G615" s="3"/>
      <c r="H615" s="3"/>
      <c r="I615" s="2"/>
      <c r="J615" s="3"/>
      <c r="K615" s="3"/>
    </row>
    <row r="616" spans="7:11" ht="13.5" customHeight="1" x14ac:dyDescent="0.25">
      <c r="G616" s="3"/>
      <c r="H616" s="3"/>
      <c r="I616" s="2"/>
      <c r="J616" s="3"/>
      <c r="K616" s="3"/>
    </row>
    <row r="617" spans="7:11" ht="13.5" customHeight="1" x14ac:dyDescent="0.25">
      <c r="G617" s="3"/>
      <c r="H617" s="3"/>
      <c r="I617" s="2"/>
      <c r="J617" s="3"/>
      <c r="K617" s="3"/>
    </row>
    <row r="618" spans="7:11" ht="13.5" customHeight="1" x14ac:dyDescent="0.25">
      <c r="G618" s="3"/>
      <c r="H618" s="3"/>
      <c r="I618" s="2"/>
      <c r="J618" s="3"/>
      <c r="K618" s="3"/>
    </row>
    <row r="619" spans="7:11" ht="13.5" customHeight="1" x14ac:dyDescent="0.25">
      <c r="G619" s="3"/>
      <c r="H619" s="3"/>
      <c r="I619" s="2"/>
      <c r="J619" s="3"/>
      <c r="K619" s="3"/>
    </row>
    <row r="620" spans="7:11" ht="13.5" customHeight="1" x14ac:dyDescent="0.25">
      <c r="G620" s="3"/>
      <c r="H620" s="3"/>
      <c r="I620" s="2"/>
      <c r="J620" s="3"/>
      <c r="K620" s="3"/>
    </row>
    <row r="621" spans="7:11" ht="13.5" customHeight="1" x14ac:dyDescent="0.25">
      <c r="G621" s="3"/>
      <c r="H621" s="3"/>
      <c r="I621" s="2"/>
      <c r="J621" s="3"/>
      <c r="K621" s="3"/>
    </row>
    <row r="622" spans="7:11" ht="13.5" customHeight="1" x14ac:dyDescent="0.25">
      <c r="G622" s="3"/>
      <c r="H622" s="3"/>
      <c r="I622" s="2"/>
      <c r="J622" s="3"/>
      <c r="K622" s="3"/>
    </row>
    <row r="623" spans="7:11" ht="13.5" customHeight="1" x14ac:dyDescent="0.25">
      <c r="G623" s="3"/>
      <c r="H623" s="3"/>
      <c r="I623" s="2"/>
      <c r="J623" s="3"/>
      <c r="K623" s="3"/>
    </row>
    <row r="624" spans="7:11" ht="13.5" customHeight="1" x14ac:dyDescent="0.25">
      <c r="G624" s="3"/>
      <c r="H624" s="3"/>
      <c r="I624" s="2"/>
      <c r="J624" s="3"/>
      <c r="K624" s="3"/>
    </row>
    <row r="625" spans="7:11" ht="13.5" customHeight="1" x14ac:dyDescent="0.25">
      <c r="G625" s="3"/>
      <c r="H625" s="3"/>
      <c r="I625" s="2"/>
      <c r="J625" s="3"/>
      <c r="K625" s="3"/>
    </row>
    <row r="626" spans="7:11" ht="13.5" customHeight="1" x14ac:dyDescent="0.25">
      <c r="G626" s="3"/>
      <c r="H626" s="3"/>
      <c r="I626" s="2"/>
      <c r="J626" s="3"/>
      <c r="K626" s="3"/>
    </row>
    <row r="627" spans="7:11" ht="13.5" customHeight="1" x14ac:dyDescent="0.25">
      <c r="G627" s="3"/>
      <c r="H627" s="3"/>
      <c r="I627" s="2"/>
      <c r="J627" s="3"/>
      <c r="K627" s="3"/>
    </row>
    <row r="628" spans="7:11" ht="13.5" customHeight="1" x14ac:dyDescent="0.25">
      <c r="G628" s="3"/>
      <c r="H628" s="3"/>
      <c r="I628" s="2"/>
      <c r="J628" s="3"/>
      <c r="K628" s="3"/>
    </row>
    <row r="629" spans="7:11" ht="13.5" customHeight="1" x14ac:dyDescent="0.25">
      <c r="G629" s="3"/>
      <c r="H629" s="3"/>
      <c r="I629" s="2"/>
      <c r="J629" s="3"/>
      <c r="K629" s="3"/>
    </row>
    <row r="630" spans="7:11" ht="13.5" customHeight="1" x14ac:dyDescent="0.25">
      <c r="G630" s="3"/>
      <c r="H630" s="3"/>
      <c r="I630" s="2"/>
      <c r="J630" s="3"/>
      <c r="K630" s="3"/>
    </row>
    <row r="631" spans="7:11" ht="13.5" customHeight="1" x14ac:dyDescent="0.25">
      <c r="G631" s="3"/>
      <c r="H631" s="3"/>
      <c r="I631" s="2"/>
      <c r="J631" s="3"/>
      <c r="K631" s="3"/>
    </row>
    <row r="632" spans="7:11" ht="13.5" customHeight="1" x14ac:dyDescent="0.25">
      <c r="G632" s="3"/>
      <c r="H632" s="3"/>
      <c r="I632" s="2"/>
      <c r="J632" s="3"/>
      <c r="K632" s="3"/>
    </row>
    <row r="633" spans="7:11" ht="13.5" customHeight="1" x14ac:dyDescent="0.25">
      <c r="G633" s="3"/>
      <c r="H633" s="3"/>
      <c r="I633" s="2"/>
      <c r="J633" s="3"/>
      <c r="K633" s="3"/>
    </row>
    <row r="634" spans="7:11" ht="13.5" customHeight="1" x14ac:dyDescent="0.25">
      <c r="G634" s="3"/>
      <c r="H634" s="3"/>
      <c r="I634" s="2"/>
      <c r="J634" s="3"/>
      <c r="K634" s="3"/>
    </row>
    <row r="635" spans="7:11" ht="13.5" customHeight="1" x14ac:dyDescent="0.25">
      <c r="G635" s="3"/>
      <c r="H635" s="3"/>
      <c r="I635" s="2"/>
      <c r="J635" s="3"/>
      <c r="K635" s="3"/>
    </row>
    <row r="636" spans="7:11" ht="13.5" customHeight="1" x14ac:dyDescent="0.25">
      <c r="G636" s="3"/>
      <c r="H636" s="3"/>
      <c r="I636" s="2"/>
      <c r="J636" s="3"/>
      <c r="K636" s="3"/>
    </row>
    <row r="637" spans="7:11" ht="13.5" customHeight="1" x14ac:dyDescent="0.25">
      <c r="G637" s="3"/>
      <c r="H637" s="3"/>
      <c r="I637" s="2"/>
      <c r="J637" s="3"/>
      <c r="K637" s="3"/>
    </row>
    <row r="638" spans="7:11" ht="13.5" customHeight="1" x14ac:dyDescent="0.25">
      <c r="G638" s="3"/>
      <c r="H638" s="3"/>
      <c r="I638" s="2"/>
      <c r="J638" s="3"/>
      <c r="K638" s="3"/>
    </row>
    <row r="639" spans="7:11" ht="13.5" customHeight="1" x14ac:dyDescent="0.25">
      <c r="G639" s="3"/>
      <c r="H639" s="3"/>
      <c r="I639" s="2"/>
      <c r="J639" s="3"/>
      <c r="K639" s="3"/>
    </row>
    <row r="640" spans="7:11" ht="13.5" customHeight="1" x14ac:dyDescent="0.25">
      <c r="G640" s="3"/>
      <c r="H640" s="3"/>
      <c r="I640" s="2"/>
      <c r="J640" s="3"/>
      <c r="K640" s="3"/>
    </row>
    <row r="641" spans="7:11" ht="13.5" customHeight="1" x14ac:dyDescent="0.25">
      <c r="G641" s="3"/>
      <c r="H641" s="3"/>
      <c r="I641" s="2"/>
      <c r="J641" s="3"/>
      <c r="K641" s="3"/>
    </row>
    <row r="642" spans="7:11" ht="13.5" customHeight="1" x14ac:dyDescent="0.25">
      <c r="G642" s="3"/>
      <c r="H642" s="3"/>
      <c r="I642" s="2"/>
      <c r="J642" s="3"/>
      <c r="K642" s="3"/>
    </row>
    <row r="643" spans="7:11" ht="13.5" customHeight="1" x14ac:dyDescent="0.25">
      <c r="G643" s="3"/>
      <c r="H643" s="3"/>
      <c r="I643" s="2"/>
      <c r="J643" s="3"/>
      <c r="K643" s="3"/>
    </row>
    <row r="644" spans="7:11" ht="13.5" customHeight="1" x14ac:dyDescent="0.25">
      <c r="G644" s="3"/>
      <c r="H644" s="3"/>
      <c r="I644" s="2"/>
      <c r="J644" s="3"/>
      <c r="K644" s="3"/>
    </row>
    <row r="645" spans="7:11" ht="13.5" customHeight="1" x14ac:dyDescent="0.25">
      <c r="G645" s="3"/>
      <c r="H645" s="3"/>
      <c r="I645" s="2"/>
      <c r="J645" s="3"/>
      <c r="K645" s="3"/>
    </row>
    <row r="646" spans="7:11" ht="13.5" customHeight="1" x14ac:dyDescent="0.25">
      <c r="G646" s="3"/>
      <c r="H646" s="3"/>
      <c r="I646" s="2"/>
      <c r="J646" s="3"/>
      <c r="K646" s="3"/>
    </row>
    <row r="647" spans="7:11" ht="13.5" customHeight="1" x14ac:dyDescent="0.25">
      <c r="G647" s="3"/>
      <c r="H647" s="3"/>
      <c r="I647" s="2"/>
      <c r="J647" s="3"/>
      <c r="K647" s="3"/>
    </row>
    <row r="648" spans="7:11" ht="13.5" customHeight="1" x14ac:dyDescent="0.25">
      <c r="G648" s="3"/>
      <c r="H648" s="3"/>
      <c r="I648" s="2"/>
      <c r="J648" s="3"/>
      <c r="K648" s="3"/>
    </row>
    <row r="649" spans="7:11" ht="13.5" customHeight="1" x14ac:dyDescent="0.25">
      <c r="G649" s="3"/>
      <c r="H649" s="3"/>
      <c r="I649" s="2"/>
      <c r="J649" s="3"/>
      <c r="K649" s="3"/>
    </row>
    <row r="650" spans="7:11" ht="13.5" customHeight="1" x14ac:dyDescent="0.25">
      <c r="G650" s="3"/>
      <c r="H650" s="3"/>
      <c r="I650" s="2"/>
      <c r="J650" s="3"/>
      <c r="K650" s="3"/>
    </row>
    <row r="651" spans="7:11" ht="13.5" customHeight="1" x14ac:dyDescent="0.25">
      <c r="G651" s="3"/>
      <c r="H651" s="3"/>
      <c r="I651" s="2"/>
      <c r="J651" s="3"/>
      <c r="K651" s="3"/>
    </row>
    <row r="652" spans="7:11" ht="13.5" customHeight="1" x14ac:dyDescent="0.25">
      <c r="G652" s="3"/>
      <c r="H652" s="3"/>
      <c r="I652" s="2"/>
      <c r="J652" s="3"/>
      <c r="K652" s="3"/>
    </row>
    <row r="653" spans="7:11" ht="13.5" customHeight="1" x14ac:dyDescent="0.25">
      <c r="G653" s="3"/>
      <c r="H653" s="3"/>
      <c r="I653" s="2"/>
      <c r="J653" s="3"/>
      <c r="K653" s="3"/>
    </row>
    <row r="654" spans="7:11" ht="13.5" customHeight="1" x14ac:dyDescent="0.25">
      <c r="G654" s="3"/>
      <c r="H654" s="3"/>
      <c r="I654" s="2"/>
      <c r="J654" s="3"/>
      <c r="K654" s="3"/>
    </row>
    <row r="655" spans="7:11" ht="13.5" customHeight="1" x14ac:dyDescent="0.25">
      <c r="G655" s="3"/>
      <c r="H655" s="3"/>
      <c r="I655" s="2"/>
      <c r="J655" s="3"/>
      <c r="K655" s="3"/>
    </row>
    <row r="656" spans="7:11" ht="13.5" customHeight="1" x14ac:dyDescent="0.25">
      <c r="G656" s="3"/>
      <c r="H656" s="3"/>
      <c r="I656" s="2"/>
      <c r="J656" s="3"/>
      <c r="K656" s="3"/>
    </row>
    <row r="657" spans="7:11" ht="13.5" customHeight="1" x14ac:dyDescent="0.25">
      <c r="G657" s="3"/>
      <c r="H657" s="3"/>
      <c r="I657" s="2"/>
      <c r="J657" s="3"/>
      <c r="K657" s="3"/>
    </row>
    <row r="658" spans="7:11" ht="13.5" customHeight="1" x14ac:dyDescent="0.25">
      <c r="G658" s="3"/>
      <c r="H658" s="3"/>
      <c r="I658" s="2"/>
      <c r="J658" s="3"/>
      <c r="K658" s="3"/>
    </row>
    <row r="659" spans="7:11" ht="13.5" customHeight="1" x14ac:dyDescent="0.25">
      <c r="G659" s="3"/>
      <c r="H659" s="3"/>
      <c r="I659" s="2"/>
      <c r="J659" s="3"/>
      <c r="K659" s="3"/>
    </row>
    <row r="660" spans="7:11" ht="13.5" customHeight="1" x14ac:dyDescent="0.25">
      <c r="G660" s="3"/>
      <c r="H660" s="3"/>
      <c r="I660" s="2"/>
      <c r="J660" s="3"/>
      <c r="K660" s="3"/>
    </row>
    <row r="661" spans="7:11" ht="13.5" customHeight="1" x14ac:dyDescent="0.25">
      <c r="G661" s="3"/>
      <c r="H661" s="3"/>
      <c r="I661" s="2"/>
      <c r="J661" s="3"/>
      <c r="K661" s="3"/>
    </row>
    <row r="662" spans="7:11" ht="13.5" customHeight="1" x14ac:dyDescent="0.25">
      <c r="G662" s="3"/>
      <c r="H662" s="3"/>
      <c r="I662" s="2"/>
      <c r="J662" s="3"/>
      <c r="K662" s="3"/>
    </row>
    <row r="663" spans="7:11" ht="13.5" customHeight="1" x14ac:dyDescent="0.25">
      <c r="G663" s="3"/>
      <c r="H663" s="3"/>
      <c r="I663" s="2"/>
      <c r="J663" s="3"/>
      <c r="K663" s="3"/>
    </row>
    <row r="664" spans="7:11" ht="13.5" customHeight="1" x14ac:dyDescent="0.25">
      <c r="G664" s="3"/>
      <c r="H664" s="3"/>
      <c r="I664" s="2"/>
      <c r="J664" s="3"/>
      <c r="K664" s="3"/>
    </row>
    <row r="665" spans="7:11" ht="13.5" customHeight="1" x14ac:dyDescent="0.25">
      <c r="G665" s="3"/>
      <c r="H665" s="3"/>
      <c r="I665" s="2"/>
      <c r="J665" s="3"/>
      <c r="K665" s="3"/>
    </row>
    <row r="666" spans="7:11" ht="13.5" customHeight="1" x14ac:dyDescent="0.25">
      <c r="G666" s="3"/>
      <c r="H666" s="3"/>
      <c r="I666" s="2"/>
      <c r="J666" s="3"/>
      <c r="K666" s="3"/>
    </row>
    <row r="667" spans="7:11" ht="13.5" customHeight="1" x14ac:dyDescent="0.25">
      <c r="G667" s="3"/>
      <c r="H667" s="3"/>
      <c r="I667" s="2"/>
      <c r="J667" s="3"/>
      <c r="K667" s="3"/>
    </row>
    <row r="668" spans="7:11" ht="13.5" customHeight="1" x14ac:dyDescent="0.25">
      <c r="G668" s="3"/>
      <c r="H668" s="3"/>
      <c r="I668" s="2"/>
      <c r="J668" s="3"/>
      <c r="K668" s="3"/>
    </row>
    <row r="669" spans="7:11" ht="13.5" customHeight="1" x14ac:dyDescent="0.25">
      <c r="G669" s="3"/>
      <c r="H669" s="3"/>
      <c r="I669" s="2"/>
      <c r="J669" s="3"/>
      <c r="K669" s="3"/>
    </row>
    <row r="670" spans="7:11" ht="13.5" customHeight="1" x14ac:dyDescent="0.25">
      <c r="G670" s="3"/>
      <c r="H670" s="3"/>
      <c r="I670" s="2"/>
      <c r="J670" s="3"/>
      <c r="K670" s="3"/>
    </row>
    <row r="671" spans="7:11" ht="13.5" customHeight="1" x14ac:dyDescent="0.25">
      <c r="G671" s="3"/>
      <c r="H671" s="3"/>
      <c r="I671" s="2"/>
      <c r="J671" s="3"/>
      <c r="K671" s="3"/>
    </row>
    <row r="672" spans="7:11" ht="13.5" customHeight="1" x14ac:dyDescent="0.25">
      <c r="G672" s="3"/>
      <c r="H672" s="3"/>
      <c r="I672" s="2"/>
      <c r="J672" s="3"/>
      <c r="K672" s="3"/>
    </row>
    <row r="673" spans="7:11" ht="13.5" customHeight="1" x14ac:dyDescent="0.25">
      <c r="G673" s="3"/>
      <c r="H673" s="3"/>
      <c r="I673" s="2"/>
      <c r="J673" s="3"/>
      <c r="K673" s="3"/>
    </row>
    <row r="674" spans="7:11" ht="13.5" customHeight="1" x14ac:dyDescent="0.25">
      <c r="G674" s="3"/>
      <c r="H674" s="3"/>
      <c r="I674" s="2"/>
      <c r="J674" s="3"/>
      <c r="K674" s="3"/>
    </row>
    <row r="675" spans="7:11" ht="13.5" customHeight="1" x14ac:dyDescent="0.25">
      <c r="G675" s="3"/>
      <c r="H675" s="3"/>
      <c r="I675" s="2"/>
      <c r="J675" s="3"/>
      <c r="K675" s="3"/>
    </row>
    <row r="676" spans="7:11" ht="13.5" customHeight="1" x14ac:dyDescent="0.25">
      <c r="G676" s="3"/>
      <c r="H676" s="3"/>
      <c r="I676" s="2"/>
      <c r="J676" s="3"/>
      <c r="K676" s="3"/>
    </row>
    <row r="677" spans="7:11" ht="13.5" customHeight="1" x14ac:dyDescent="0.25">
      <c r="G677" s="3"/>
      <c r="H677" s="3"/>
      <c r="I677" s="2"/>
      <c r="J677" s="3"/>
      <c r="K677" s="3"/>
    </row>
    <row r="678" spans="7:11" ht="13.5" customHeight="1" x14ac:dyDescent="0.25">
      <c r="G678" s="3"/>
      <c r="H678" s="3"/>
      <c r="I678" s="2"/>
      <c r="J678" s="3"/>
      <c r="K678" s="3"/>
    </row>
    <row r="679" spans="7:11" ht="13.5" customHeight="1" x14ac:dyDescent="0.25">
      <c r="G679" s="3"/>
      <c r="H679" s="3"/>
      <c r="I679" s="2"/>
      <c r="J679" s="3"/>
      <c r="K679" s="3"/>
    </row>
    <row r="680" spans="7:11" ht="13.5" customHeight="1" x14ac:dyDescent="0.25">
      <c r="G680" s="3"/>
      <c r="H680" s="3"/>
      <c r="I680" s="2"/>
      <c r="J680" s="3"/>
      <c r="K680" s="3"/>
    </row>
    <row r="681" spans="7:11" ht="13.5" customHeight="1" x14ac:dyDescent="0.25">
      <c r="G681" s="3"/>
      <c r="H681" s="3"/>
      <c r="I681" s="2"/>
      <c r="J681" s="3"/>
      <c r="K681" s="3"/>
    </row>
    <row r="682" spans="7:11" ht="13.5" customHeight="1" x14ac:dyDescent="0.25">
      <c r="G682" s="3"/>
      <c r="H682" s="3"/>
      <c r="I682" s="2"/>
      <c r="J682" s="3"/>
      <c r="K682" s="3"/>
    </row>
    <row r="683" spans="7:11" ht="13.5" customHeight="1" x14ac:dyDescent="0.25">
      <c r="G683" s="3"/>
      <c r="H683" s="3"/>
      <c r="I683" s="2"/>
      <c r="J683" s="3"/>
      <c r="K683" s="3"/>
    </row>
    <row r="684" spans="7:11" ht="13.5" customHeight="1" x14ac:dyDescent="0.25">
      <c r="G684" s="3"/>
      <c r="H684" s="3"/>
      <c r="I684" s="2"/>
      <c r="J684" s="3"/>
      <c r="K684" s="3"/>
    </row>
    <row r="685" spans="7:11" ht="13.5" customHeight="1" x14ac:dyDescent="0.25">
      <c r="G685" s="3"/>
      <c r="H685" s="3"/>
      <c r="I685" s="2"/>
      <c r="J685" s="3"/>
      <c r="K685" s="3"/>
    </row>
    <row r="686" spans="7:11" ht="13.5" customHeight="1" x14ac:dyDescent="0.25">
      <c r="G686" s="3"/>
      <c r="H686" s="3"/>
      <c r="I686" s="2"/>
      <c r="J686" s="3"/>
      <c r="K686" s="3"/>
    </row>
    <row r="687" spans="7:11" ht="13.5" customHeight="1" x14ac:dyDescent="0.25">
      <c r="G687" s="3"/>
      <c r="H687" s="3"/>
      <c r="I687" s="2"/>
      <c r="J687" s="3"/>
      <c r="K687" s="3"/>
    </row>
    <row r="688" spans="7:11" ht="13.5" customHeight="1" x14ac:dyDescent="0.25">
      <c r="G688" s="3"/>
      <c r="H688" s="3"/>
      <c r="I688" s="2"/>
      <c r="J688" s="3"/>
      <c r="K688" s="3"/>
    </row>
    <row r="689" spans="7:11" ht="13.5" customHeight="1" x14ac:dyDescent="0.25">
      <c r="G689" s="3"/>
      <c r="H689" s="3"/>
      <c r="I689" s="2"/>
      <c r="J689" s="3"/>
      <c r="K689" s="3"/>
    </row>
    <row r="690" spans="7:11" ht="13.5" customHeight="1" x14ac:dyDescent="0.25">
      <c r="G690" s="3"/>
      <c r="H690" s="3"/>
      <c r="I690" s="2"/>
      <c r="J690" s="3"/>
      <c r="K690" s="3"/>
    </row>
    <row r="691" spans="7:11" ht="13.5" customHeight="1" x14ac:dyDescent="0.25">
      <c r="G691" s="3"/>
      <c r="H691" s="3"/>
      <c r="I691" s="2"/>
      <c r="J691" s="3"/>
      <c r="K691" s="3"/>
    </row>
    <row r="692" spans="7:11" ht="13.5" customHeight="1" x14ac:dyDescent="0.25">
      <c r="G692" s="3"/>
      <c r="H692" s="3"/>
      <c r="I692" s="2"/>
      <c r="J692" s="3"/>
      <c r="K692" s="3"/>
    </row>
    <row r="693" spans="7:11" ht="13.5" customHeight="1" x14ac:dyDescent="0.25">
      <c r="G693" s="3"/>
      <c r="H693" s="3"/>
      <c r="I693" s="2"/>
      <c r="J693" s="3"/>
      <c r="K693" s="3"/>
    </row>
    <row r="694" spans="7:11" ht="13.5" customHeight="1" x14ac:dyDescent="0.25">
      <c r="G694" s="3"/>
      <c r="H694" s="3"/>
      <c r="I694" s="2"/>
      <c r="J694" s="3"/>
      <c r="K694" s="3"/>
    </row>
    <row r="695" spans="7:11" ht="13.5" customHeight="1" x14ac:dyDescent="0.25">
      <c r="G695" s="3"/>
      <c r="H695" s="3"/>
      <c r="I695" s="2"/>
      <c r="J695" s="3"/>
      <c r="K695" s="3"/>
    </row>
    <row r="696" spans="7:11" ht="13.5" customHeight="1" x14ac:dyDescent="0.25">
      <c r="G696" s="3"/>
      <c r="H696" s="3"/>
      <c r="I696" s="2"/>
      <c r="J696" s="3"/>
      <c r="K696" s="3"/>
    </row>
    <row r="697" spans="7:11" ht="13.5" customHeight="1" x14ac:dyDescent="0.25">
      <c r="G697" s="3"/>
      <c r="H697" s="3"/>
      <c r="I697" s="2"/>
      <c r="J697" s="3"/>
      <c r="K697" s="3"/>
    </row>
    <row r="698" spans="7:11" ht="13.5" customHeight="1" x14ac:dyDescent="0.25">
      <c r="G698" s="3"/>
      <c r="H698" s="3"/>
      <c r="I698" s="2"/>
      <c r="J698" s="3"/>
      <c r="K698" s="3"/>
    </row>
    <row r="699" spans="7:11" ht="13.5" customHeight="1" x14ac:dyDescent="0.25">
      <c r="G699" s="3"/>
      <c r="H699" s="3"/>
      <c r="I699" s="2"/>
      <c r="J699" s="3"/>
      <c r="K699" s="3"/>
    </row>
    <row r="700" spans="7:11" ht="13.5" customHeight="1" x14ac:dyDescent="0.25">
      <c r="G700" s="3"/>
      <c r="H700" s="3"/>
      <c r="I700" s="2"/>
      <c r="J700" s="3"/>
      <c r="K700" s="3"/>
    </row>
    <row r="701" spans="7:11" ht="13.5" customHeight="1" x14ac:dyDescent="0.25">
      <c r="G701" s="3"/>
      <c r="H701" s="3"/>
      <c r="I701" s="2"/>
      <c r="J701" s="3"/>
      <c r="K701" s="3"/>
    </row>
    <row r="702" spans="7:11" ht="13.5" customHeight="1" x14ac:dyDescent="0.25">
      <c r="G702" s="3"/>
      <c r="H702" s="3"/>
      <c r="I702" s="2"/>
      <c r="J702" s="3"/>
      <c r="K702" s="3"/>
    </row>
    <row r="703" spans="7:11" ht="13.5" customHeight="1" x14ac:dyDescent="0.25">
      <c r="G703" s="3"/>
      <c r="H703" s="3"/>
      <c r="I703" s="2"/>
      <c r="J703" s="3"/>
      <c r="K703" s="3"/>
    </row>
    <row r="704" spans="7:11" ht="13.5" customHeight="1" x14ac:dyDescent="0.25">
      <c r="G704" s="3"/>
      <c r="H704" s="3"/>
      <c r="I704" s="2"/>
      <c r="J704" s="3"/>
      <c r="K704" s="3"/>
    </row>
    <row r="705" spans="7:11" ht="13.5" customHeight="1" x14ac:dyDescent="0.25">
      <c r="G705" s="3"/>
      <c r="H705" s="3"/>
      <c r="I705" s="2"/>
      <c r="J705" s="3"/>
      <c r="K705" s="3"/>
    </row>
    <row r="706" spans="7:11" ht="13.5" customHeight="1" x14ac:dyDescent="0.25">
      <c r="G706" s="3"/>
      <c r="H706" s="3"/>
      <c r="I706" s="2"/>
      <c r="J706" s="3"/>
      <c r="K706" s="3"/>
    </row>
    <row r="707" spans="7:11" ht="13.5" customHeight="1" x14ac:dyDescent="0.25">
      <c r="G707" s="3"/>
      <c r="H707" s="3"/>
      <c r="I707" s="2"/>
      <c r="J707" s="3"/>
      <c r="K707" s="3"/>
    </row>
    <row r="708" spans="7:11" ht="13.5" customHeight="1" x14ac:dyDescent="0.25">
      <c r="G708" s="3"/>
      <c r="H708" s="3"/>
      <c r="I708" s="2"/>
      <c r="J708" s="3"/>
      <c r="K708" s="3"/>
    </row>
    <row r="709" spans="7:11" ht="13.5" customHeight="1" x14ac:dyDescent="0.25">
      <c r="G709" s="3"/>
      <c r="H709" s="3"/>
      <c r="I709" s="2"/>
      <c r="J709" s="3"/>
      <c r="K709" s="3"/>
    </row>
    <row r="710" spans="7:11" ht="13.5" customHeight="1" x14ac:dyDescent="0.25">
      <c r="G710" s="3"/>
      <c r="H710" s="3"/>
      <c r="I710" s="2"/>
      <c r="J710" s="3"/>
      <c r="K710" s="3"/>
    </row>
    <row r="711" spans="7:11" ht="13.5" customHeight="1" x14ac:dyDescent="0.25">
      <c r="G711" s="3"/>
      <c r="H711" s="3"/>
      <c r="I711" s="2"/>
      <c r="J711" s="3"/>
      <c r="K711" s="3"/>
    </row>
    <row r="712" spans="7:11" ht="13.5" customHeight="1" x14ac:dyDescent="0.25">
      <c r="G712" s="3"/>
      <c r="H712" s="3"/>
      <c r="I712" s="2"/>
      <c r="J712" s="3"/>
      <c r="K712" s="3"/>
    </row>
    <row r="713" spans="7:11" ht="13.5" customHeight="1" x14ac:dyDescent="0.25">
      <c r="G713" s="3"/>
      <c r="H713" s="3"/>
      <c r="I713" s="2"/>
      <c r="J713" s="3"/>
      <c r="K713" s="3"/>
    </row>
    <row r="714" spans="7:11" ht="13.5" customHeight="1" x14ac:dyDescent="0.25">
      <c r="G714" s="3"/>
      <c r="H714" s="3"/>
      <c r="I714" s="2"/>
      <c r="J714" s="3"/>
      <c r="K714" s="3"/>
    </row>
    <row r="715" spans="7:11" ht="13.5" customHeight="1" x14ac:dyDescent="0.25">
      <c r="G715" s="3"/>
      <c r="H715" s="3"/>
      <c r="I715" s="2"/>
      <c r="J715" s="3"/>
      <c r="K715" s="3"/>
    </row>
    <row r="716" spans="7:11" ht="13.5" customHeight="1" x14ac:dyDescent="0.25">
      <c r="G716" s="3"/>
      <c r="H716" s="3"/>
      <c r="I716" s="2"/>
      <c r="J716" s="3"/>
      <c r="K716" s="3"/>
    </row>
    <row r="717" spans="7:11" ht="13.5" customHeight="1" x14ac:dyDescent="0.25">
      <c r="G717" s="3"/>
      <c r="H717" s="3"/>
      <c r="I717" s="2"/>
      <c r="J717" s="3"/>
      <c r="K717" s="3"/>
    </row>
    <row r="718" spans="7:11" ht="13.5" customHeight="1" x14ac:dyDescent="0.25">
      <c r="G718" s="3"/>
      <c r="H718" s="3"/>
      <c r="I718" s="2"/>
      <c r="J718" s="3"/>
      <c r="K718" s="3"/>
    </row>
    <row r="719" spans="7:11" ht="13.5" customHeight="1" x14ac:dyDescent="0.25">
      <c r="G719" s="3"/>
      <c r="H719" s="3"/>
      <c r="I719" s="2"/>
      <c r="J719" s="3"/>
      <c r="K719" s="3"/>
    </row>
    <row r="720" spans="7:11" ht="13.5" customHeight="1" x14ac:dyDescent="0.25">
      <c r="G720" s="3"/>
      <c r="H720" s="3"/>
      <c r="I720" s="2"/>
      <c r="J720" s="3"/>
      <c r="K720" s="3"/>
    </row>
    <row r="721" spans="7:11" ht="13.5" customHeight="1" x14ac:dyDescent="0.25">
      <c r="G721" s="3"/>
      <c r="H721" s="3"/>
      <c r="I721" s="2"/>
      <c r="J721" s="3"/>
      <c r="K721" s="3"/>
    </row>
    <row r="722" spans="7:11" ht="13.5" customHeight="1" x14ac:dyDescent="0.25">
      <c r="G722" s="3"/>
      <c r="H722" s="3"/>
      <c r="I722" s="2"/>
      <c r="J722" s="3"/>
      <c r="K722" s="3"/>
    </row>
    <row r="723" spans="7:11" ht="13.5" customHeight="1" x14ac:dyDescent="0.25">
      <c r="G723" s="3"/>
      <c r="H723" s="3"/>
      <c r="I723" s="2"/>
      <c r="J723" s="3"/>
      <c r="K723" s="3"/>
    </row>
    <row r="724" spans="7:11" ht="13.5" customHeight="1" x14ac:dyDescent="0.25">
      <c r="G724" s="3"/>
      <c r="H724" s="3"/>
      <c r="I724" s="2"/>
      <c r="J724" s="3"/>
      <c r="K724" s="3"/>
    </row>
    <row r="725" spans="7:11" ht="13.5" customHeight="1" x14ac:dyDescent="0.25">
      <c r="G725" s="3"/>
      <c r="H725" s="3"/>
      <c r="I725" s="2"/>
      <c r="J725" s="3"/>
      <c r="K725" s="3"/>
    </row>
    <row r="726" spans="7:11" ht="13.5" customHeight="1" x14ac:dyDescent="0.25">
      <c r="G726" s="3"/>
      <c r="H726" s="3"/>
      <c r="I726" s="2"/>
      <c r="J726" s="3"/>
      <c r="K726" s="3"/>
    </row>
    <row r="727" spans="7:11" ht="13.5" customHeight="1" x14ac:dyDescent="0.25">
      <c r="G727" s="3"/>
      <c r="H727" s="3"/>
      <c r="I727" s="2"/>
      <c r="J727" s="3"/>
      <c r="K727" s="3"/>
    </row>
    <row r="728" spans="7:11" ht="13.5" customHeight="1" x14ac:dyDescent="0.25">
      <c r="G728" s="3"/>
      <c r="H728" s="3"/>
      <c r="I728" s="2"/>
      <c r="J728" s="3"/>
      <c r="K728" s="3"/>
    </row>
    <row r="729" spans="7:11" ht="13.5" customHeight="1" x14ac:dyDescent="0.25">
      <c r="G729" s="3"/>
      <c r="H729" s="3"/>
      <c r="I729" s="2"/>
      <c r="J729" s="3"/>
      <c r="K729" s="3"/>
    </row>
    <row r="730" spans="7:11" ht="13.5" customHeight="1" x14ac:dyDescent="0.25">
      <c r="G730" s="3"/>
      <c r="H730" s="3"/>
      <c r="I730" s="2"/>
      <c r="J730" s="3"/>
      <c r="K730" s="3"/>
    </row>
    <row r="731" spans="7:11" ht="13.5" customHeight="1" x14ac:dyDescent="0.25">
      <c r="G731" s="3"/>
      <c r="H731" s="3"/>
      <c r="I731" s="2"/>
      <c r="J731" s="3"/>
      <c r="K731" s="3"/>
    </row>
    <row r="732" spans="7:11" ht="13.5" customHeight="1" x14ac:dyDescent="0.25">
      <c r="G732" s="3"/>
      <c r="H732" s="3"/>
      <c r="I732" s="2"/>
      <c r="J732" s="3"/>
      <c r="K732" s="3"/>
    </row>
    <row r="733" spans="7:11" ht="13.5" customHeight="1" x14ac:dyDescent="0.25">
      <c r="G733" s="3"/>
      <c r="H733" s="3"/>
      <c r="I733" s="2"/>
      <c r="J733" s="3"/>
      <c r="K733" s="3"/>
    </row>
    <row r="734" spans="7:11" ht="13.5" customHeight="1" x14ac:dyDescent="0.25">
      <c r="G734" s="3"/>
      <c r="H734" s="3"/>
      <c r="I734" s="2"/>
      <c r="J734" s="3"/>
      <c r="K734" s="3"/>
    </row>
    <row r="735" spans="7:11" ht="13.5" customHeight="1" x14ac:dyDescent="0.25">
      <c r="G735" s="3"/>
      <c r="H735" s="3"/>
      <c r="I735" s="2"/>
      <c r="J735" s="3"/>
      <c r="K735" s="3"/>
    </row>
    <row r="736" spans="7:11" ht="13.5" customHeight="1" x14ac:dyDescent="0.25">
      <c r="G736" s="3"/>
      <c r="H736" s="3"/>
      <c r="I736" s="2"/>
      <c r="J736" s="3"/>
      <c r="K736" s="3"/>
    </row>
    <row r="737" spans="7:11" ht="13.5" customHeight="1" x14ac:dyDescent="0.25">
      <c r="G737" s="3"/>
      <c r="H737" s="3"/>
      <c r="I737" s="2"/>
      <c r="J737" s="3"/>
      <c r="K737" s="3"/>
    </row>
    <row r="738" spans="7:11" ht="13.5" customHeight="1" x14ac:dyDescent="0.25">
      <c r="G738" s="3"/>
      <c r="H738" s="3"/>
      <c r="I738" s="2"/>
      <c r="J738" s="3"/>
      <c r="K738" s="3"/>
    </row>
    <row r="739" spans="7:11" ht="13.5" customHeight="1" x14ac:dyDescent="0.25">
      <c r="G739" s="3"/>
      <c r="H739" s="3"/>
      <c r="I739" s="2"/>
      <c r="J739" s="3"/>
      <c r="K739" s="3"/>
    </row>
    <row r="740" spans="7:11" ht="13.5" customHeight="1" x14ac:dyDescent="0.25">
      <c r="G740" s="3"/>
      <c r="H740" s="3"/>
      <c r="I740" s="2"/>
      <c r="J740" s="3"/>
      <c r="K740" s="3"/>
    </row>
    <row r="741" spans="7:11" ht="13.5" customHeight="1" x14ac:dyDescent="0.25">
      <c r="G741" s="3"/>
      <c r="H741" s="3"/>
      <c r="I741" s="2"/>
      <c r="J741" s="3"/>
      <c r="K741" s="3"/>
    </row>
    <row r="742" spans="7:11" ht="13.5" customHeight="1" x14ac:dyDescent="0.25">
      <c r="G742" s="3"/>
      <c r="H742" s="3"/>
      <c r="I742" s="2"/>
      <c r="J742" s="3"/>
      <c r="K742" s="3"/>
    </row>
    <row r="743" spans="7:11" ht="13.5" customHeight="1" x14ac:dyDescent="0.25">
      <c r="G743" s="3"/>
      <c r="H743" s="3"/>
      <c r="I743" s="2"/>
      <c r="J743" s="3"/>
      <c r="K743" s="3"/>
    </row>
    <row r="744" spans="7:11" ht="13.5" customHeight="1" x14ac:dyDescent="0.25">
      <c r="G744" s="3"/>
      <c r="H744" s="3"/>
      <c r="I744" s="2"/>
      <c r="J744" s="3"/>
      <c r="K744" s="3"/>
    </row>
    <row r="745" spans="7:11" ht="13.5" customHeight="1" x14ac:dyDescent="0.25">
      <c r="G745" s="3"/>
      <c r="H745" s="3"/>
      <c r="I745" s="2"/>
      <c r="J745" s="3"/>
      <c r="K745" s="3"/>
    </row>
    <row r="746" spans="7:11" ht="13.5" customHeight="1" x14ac:dyDescent="0.25">
      <c r="G746" s="3"/>
      <c r="H746" s="3"/>
      <c r="I746" s="2"/>
      <c r="J746" s="3"/>
      <c r="K746" s="3"/>
    </row>
    <row r="747" spans="7:11" ht="13.5" customHeight="1" x14ac:dyDescent="0.25">
      <c r="G747" s="3"/>
      <c r="H747" s="3"/>
      <c r="I747" s="2"/>
      <c r="J747" s="3"/>
      <c r="K747" s="3"/>
    </row>
    <row r="748" spans="7:11" ht="13.5" customHeight="1" x14ac:dyDescent="0.25">
      <c r="G748" s="3"/>
      <c r="H748" s="3"/>
      <c r="I748" s="2"/>
      <c r="J748" s="3"/>
      <c r="K748" s="3"/>
    </row>
    <row r="749" spans="7:11" ht="13.5" customHeight="1" x14ac:dyDescent="0.25">
      <c r="G749" s="3"/>
      <c r="H749" s="3"/>
      <c r="I749" s="2"/>
      <c r="J749" s="3"/>
      <c r="K749" s="3"/>
    </row>
    <row r="750" spans="7:11" ht="13.5" customHeight="1" x14ac:dyDescent="0.25">
      <c r="G750" s="3"/>
      <c r="H750" s="3"/>
      <c r="I750" s="2"/>
      <c r="J750" s="3"/>
      <c r="K750" s="3"/>
    </row>
    <row r="751" spans="7:11" ht="13.5" customHeight="1" x14ac:dyDescent="0.25">
      <c r="G751" s="3"/>
      <c r="H751" s="3"/>
      <c r="I751" s="2"/>
      <c r="J751" s="3"/>
      <c r="K751" s="3"/>
    </row>
    <row r="752" spans="7:11" ht="13.5" customHeight="1" x14ac:dyDescent="0.25">
      <c r="G752" s="3"/>
      <c r="H752" s="3"/>
      <c r="I752" s="2"/>
      <c r="J752" s="3"/>
      <c r="K752" s="3"/>
    </row>
    <row r="753" spans="7:11" ht="13.5" customHeight="1" x14ac:dyDescent="0.25">
      <c r="G753" s="3"/>
      <c r="H753" s="3"/>
      <c r="I753" s="2"/>
      <c r="J753" s="3"/>
      <c r="K753" s="3"/>
    </row>
    <row r="754" spans="7:11" ht="13.5" customHeight="1" x14ac:dyDescent="0.25">
      <c r="G754" s="3"/>
      <c r="H754" s="3"/>
      <c r="I754" s="2"/>
      <c r="J754" s="3"/>
      <c r="K754" s="3"/>
    </row>
    <row r="755" spans="7:11" ht="13.5" customHeight="1" x14ac:dyDescent="0.25">
      <c r="G755" s="3"/>
      <c r="H755" s="3"/>
      <c r="I755" s="2"/>
      <c r="J755" s="3"/>
      <c r="K755" s="3"/>
    </row>
    <row r="756" spans="7:11" ht="13.5" customHeight="1" x14ac:dyDescent="0.25">
      <c r="G756" s="3"/>
      <c r="H756" s="3"/>
      <c r="I756" s="2"/>
      <c r="J756" s="3"/>
      <c r="K756" s="3"/>
    </row>
    <row r="757" spans="7:11" ht="13.5" customHeight="1" x14ac:dyDescent="0.25">
      <c r="G757" s="3"/>
      <c r="H757" s="3"/>
      <c r="I757" s="2"/>
      <c r="J757" s="3"/>
      <c r="K757" s="3"/>
    </row>
    <row r="758" spans="7:11" ht="13.5" customHeight="1" x14ac:dyDescent="0.25">
      <c r="G758" s="3"/>
      <c r="H758" s="3"/>
      <c r="I758" s="2"/>
      <c r="J758" s="3"/>
      <c r="K758" s="3"/>
    </row>
    <row r="759" spans="7:11" ht="13.5" customHeight="1" x14ac:dyDescent="0.25">
      <c r="G759" s="3"/>
      <c r="H759" s="3"/>
      <c r="I759" s="2"/>
      <c r="J759" s="3"/>
      <c r="K759" s="3"/>
    </row>
    <row r="760" spans="7:11" ht="13.5" customHeight="1" x14ac:dyDescent="0.25">
      <c r="G760" s="3"/>
      <c r="H760" s="3"/>
      <c r="I760" s="2"/>
      <c r="J760" s="3"/>
      <c r="K760" s="3"/>
    </row>
    <row r="761" spans="7:11" ht="13.5" customHeight="1" x14ac:dyDescent="0.25">
      <c r="G761" s="3"/>
      <c r="H761" s="3"/>
      <c r="I761" s="2"/>
      <c r="J761" s="3"/>
      <c r="K761" s="3"/>
    </row>
    <row r="762" spans="7:11" ht="13.5" customHeight="1" x14ac:dyDescent="0.25">
      <c r="G762" s="3"/>
      <c r="H762" s="3"/>
      <c r="I762" s="2"/>
      <c r="J762" s="3"/>
      <c r="K762" s="3"/>
    </row>
    <row r="763" spans="7:11" ht="13.5" customHeight="1" x14ac:dyDescent="0.25">
      <c r="G763" s="3"/>
      <c r="H763" s="3"/>
      <c r="I763" s="2"/>
      <c r="J763" s="3"/>
      <c r="K763" s="3"/>
    </row>
    <row r="764" spans="7:11" ht="13.5" customHeight="1" x14ac:dyDescent="0.25">
      <c r="G764" s="3"/>
      <c r="H764" s="3"/>
      <c r="I764" s="2"/>
      <c r="J764" s="3"/>
      <c r="K764" s="3"/>
    </row>
    <row r="765" spans="7:11" ht="13.5" customHeight="1" x14ac:dyDescent="0.25">
      <c r="G765" s="3"/>
      <c r="H765" s="3"/>
      <c r="I765" s="2"/>
      <c r="J765" s="3"/>
      <c r="K765" s="3"/>
    </row>
    <row r="766" spans="7:11" ht="13.5" customHeight="1" x14ac:dyDescent="0.25">
      <c r="G766" s="3"/>
      <c r="H766" s="3"/>
      <c r="I766" s="2"/>
      <c r="J766" s="3"/>
      <c r="K766" s="3"/>
    </row>
    <row r="767" spans="7:11" ht="13.5" customHeight="1" x14ac:dyDescent="0.25">
      <c r="G767" s="3"/>
      <c r="H767" s="3"/>
      <c r="I767" s="2"/>
      <c r="J767" s="3"/>
      <c r="K767" s="3"/>
    </row>
    <row r="768" spans="7:11" ht="13.5" customHeight="1" x14ac:dyDescent="0.25">
      <c r="G768" s="3"/>
      <c r="H768" s="3"/>
      <c r="I768" s="2"/>
      <c r="J768" s="3"/>
      <c r="K768" s="3"/>
    </row>
    <row r="769" spans="7:11" ht="13.5" customHeight="1" x14ac:dyDescent="0.25">
      <c r="G769" s="3"/>
      <c r="H769" s="3"/>
      <c r="I769" s="2"/>
      <c r="J769" s="3"/>
      <c r="K769" s="3"/>
    </row>
    <row r="770" spans="7:11" ht="13.5" customHeight="1" x14ac:dyDescent="0.25">
      <c r="G770" s="3"/>
      <c r="H770" s="3"/>
      <c r="I770" s="2"/>
      <c r="J770" s="3"/>
      <c r="K770" s="3"/>
    </row>
    <row r="771" spans="7:11" ht="13.5" customHeight="1" x14ac:dyDescent="0.25">
      <c r="G771" s="3"/>
      <c r="H771" s="3"/>
      <c r="I771" s="2"/>
      <c r="J771" s="3"/>
      <c r="K771" s="3"/>
    </row>
    <row r="772" spans="7:11" ht="13.5" customHeight="1" x14ac:dyDescent="0.25">
      <c r="G772" s="3"/>
      <c r="H772" s="3"/>
      <c r="I772" s="2"/>
      <c r="J772" s="3"/>
      <c r="K772" s="3"/>
    </row>
    <row r="773" spans="7:11" ht="13.5" customHeight="1" x14ac:dyDescent="0.25">
      <c r="G773" s="3"/>
      <c r="H773" s="3"/>
      <c r="I773" s="2"/>
      <c r="J773" s="3"/>
      <c r="K773" s="3"/>
    </row>
    <row r="774" spans="7:11" ht="13.5" customHeight="1" x14ac:dyDescent="0.25">
      <c r="G774" s="3"/>
      <c r="H774" s="3"/>
      <c r="I774" s="2"/>
      <c r="J774" s="3"/>
      <c r="K774" s="3"/>
    </row>
    <row r="775" spans="7:11" ht="13.5" customHeight="1" x14ac:dyDescent="0.25">
      <c r="G775" s="3"/>
      <c r="H775" s="3"/>
      <c r="I775" s="2"/>
      <c r="J775" s="3"/>
      <c r="K775" s="3"/>
    </row>
    <row r="776" spans="7:11" ht="13.5" customHeight="1" x14ac:dyDescent="0.25">
      <c r="G776" s="3"/>
      <c r="H776" s="3"/>
      <c r="I776" s="2"/>
      <c r="J776" s="3"/>
      <c r="K776" s="3"/>
    </row>
    <row r="777" spans="7:11" ht="13.5" customHeight="1" x14ac:dyDescent="0.25">
      <c r="G777" s="3"/>
      <c r="H777" s="3"/>
      <c r="I777" s="2"/>
      <c r="J777" s="3"/>
      <c r="K777" s="3"/>
    </row>
    <row r="778" spans="7:11" ht="13.5" customHeight="1" x14ac:dyDescent="0.25">
      <c r="G778" s="3"/>
      <c r="H778" s="3"/>
      <c r="I778" s="2"/>
      <c r="J778" s="3"/>
      <c r="K778" s="3"/>
    </row>
    <row r="779" spans="7:11" ht="13.5" customHeight="1" x14ac:dyDescent="0.25">
      <c r="G779" s="3"/>
      <c r="H779" s="3"/>
      <c r="I779" s="2"/>
      <c r="J779" s="3"/>
      <c r="K779" s="3"/>
    </row>
    <row r="780" spans="7:11" ht="13.5" customHeight="1" x14ac:dyDescent="0.25">
      <c r="G780" s="3"/>
      <c r="H780" s="3"/>
      <c r="I780" s="2"/>
      <c r="J780" s="3"/>
      <c r="K780" s="3"/>
    </row>
    <row r="781" spans="7:11" ht="13.5" customHeight="1" x14ac:dyDescent="0.25">
      <c r="G781" s="3"/>
      <c r="H781" s="3"/>
      <c r="I781" s="2"/>
      <c r="J781" s="3"/>
      <c r="K781" s="3"/>
    </row>
    <row r="782" spans="7:11" ht="13.5" customHeight="1" x14ac:dyDescent="0.25">
      <c r="G782" s="3"/>
      <c r="H782" s="3"/>
      <c r="I782" s="2"/>
      <c r="J782" s="3"/>
      <c r="K782" s="3"/>
    </row>
    <row r="783" spans="7:11" ht="13.5" customHeight="1" x14ac:dyDescent="0.25">
      <c r="G783" s="3"/>
      <c r="H783" s="3"/>
      <c r="I783" s="2"/>
      <c r="J783" s="3"/>
      <c r="K783" s="3"/>
    </row>
    <row r="784" spans="7:11" ht="13.5" customHeight="1" x14ac:dyDescent="0.25">
      <c r="G784" s="3"/>
      <c r="H784" s="3"/>
      <c r="I784" s="2"/>
      <c r="J784" s="3"/>
      <c r="K784" s="3"/>
    </row>
    <row r="785" spans="7:11" ht="13.5" customHeight="1" x14ac:dyDescent="0.25">
      <c r="G785" s="3"/>
      <c r="H785" s="3"/>
      <c r="I785" s="2"/>
      <c r="J785" s="3"/>
      <c r="K785" s="3"/>
    </row>
    <row r="786" spans="7:11" ht="13.5" customHeight="1" x14ac:dyDescent="0.25">
      <c r="G786" s="3"/>
      <c r="H786" s="3"/>
      <c r="I786" s="2"/>
      <c r="J786" s="3"/>
      <c r="K786" s="3"/>
    </row>
    <row r="787" spans="7:11" ht="13.5" customHeight="1" x14ac:dyDescent="0.25">
      <c r="G787" s="3"/>
      <c r="H787" s="3"/>
      <c r="I787" s="2"/>
      <c r="J787" s="3"/>
      <c r="K787" s="3"/>
    </row>
    <row r="788" spans="7:11" ht="13.5" customHeight="1" x14ac:dyDescent="0.25">
      <c r="G788" s="3"/>
      <c r="H788" s="3"/>
      <c r="I788" s="2"/>
      <c r="J788" s="3"/>
      <c r="K788" s="3"/>
    </row>
    <row r="789" spans="7:11" ht="13.5" customHeight="1" x14ac:dyDescent="0.25">
      <c r="G789" s="3"/>
      <c r="H789" s="3"/>
      <c r="I789" s="2"/>
      <c r="J789" s="3"/>
      <c r="K789" s="3"/>
    </row>
    <row r="790" spans="7:11" ht="13.5" customHeight="1" x14ac:dyDescent="0.25">
      <c r="G790" s="3"/>
      <c r="H790" s="3"/>
      <c r="I790" s="2"/>
      <c r="J790" s="3"/>
      <c r="K790" s="3"/>
    </row>
    <row r="791" spans="7:11" ht="13.5" customHeight="1" x14ac:dyDescent="0.25">
      <c r="G791" s="3"/>
      <c r="H791" s="3"/>
      <c r="I791" s="2"/>
      <c r="J791" s="3"/>
      <c r="K791" s="3"/>
    </row>
    <row r="792" spans="7:11" ht="13.5" customHeight="1" x14ac:dyDescent="0.25">
      <c r="G792" s="3"/>
      <c r="H792" s="3"/>
      <c r="I792" s="2"/>
      <c r="J792" s="3"/>
      <c r="K792" s="3"/>
    </row>
    <row r="793" spans="7:11" ht="13.5" customHeight="1" x14ac:dyDescent="0.25">
      <c r="G793" s="3"/>
      <c r="H793" s="3"/>
      <c r="I793" s="2"/>
      <c r="J793" s="3"/>
      <c r="K793" s="3"/>
    </row>
    <row r="794" spans="7:11" ht="13.5" customHeight="1" x14ac:dyDescent="0.25">
      <c r="G794" s="3"/>
      <c r="H794" s="3"/>
      <c r="I794" s="2"/>
      <c r="J794" s="3"/>
      <c r="K794" s="3"/>
    </row>
    <row r="795" spans="7:11" ht="13.5" customHeight="1" x14ac:dyDescent="0.25">
      <c r="G795" s="3"/>
      <c r="H795" s="3"/>
      <c r="I795" s="2"/>
      <c r="J795" s="3"/>
      <c r="K795" s="3"/>
    </row>
    <row r="796" spans="7:11" ht="13.5" customHeight="1" x14ac:dyDescent="0.25">
      <c r="G796" s="3"/>
      <c r="H796" s="3"/>
      <c r="I796" s="2"/>
      <c r="J796" s="3"/>
      <c r="K796" s="3"/>
    </row>
    <row r="797" spans="7:11" ht="13.5" customHeight="1" x14ac:dyDescent="0.25">
      <c r="G797" s="3"/>
      <c r="H797" s="3"/>
      <c r="I797" s="2"/>
      <c r="J797" s="3"/>
      <c r="K797" s="3"/>
    </row>
    <row r="798" spans="7:11" ht="13.5" customHeight="1" x14ac:dyDescent="0.25">
      <c r="G798" s="3"/>
      <c r="H798" s="3"/>
      <c r="I798" s="2"/>
      <c r="J798" s="3"/>
      <c r="K798" s="3"/>
    </row>
    <row r="799" spans="7:11" ht="13.5" customHeight="1" x14ac:dyDescent="0.25">
      <c r="G799" s="3"/>
      <c r="H799" s="3"/>
      <c r="I799" s="2"/>
      <c r="J799" s="3"/>
      <c r="K799" s="3"/>
    </row>
    <row r="800" spans="7:11" ht="13.5" customHeight="1" x14ac:dyDescent="0.25">
      <c r="G800" s="3"/>
      <c r="H800" s="3"/>
      <c r="I800" s="2"/>
      <c r="J800" s="3"/>
      <c r="K800" s="3"/>
    </row>
    <row r="801" spans="7:11" ht="13.5" customHeight="1" x14ac:dyDescent="0.25">
      <c r="G801" s="3"/>
      <c r="H801" s="3"/>
      <c r="I801" s="2"/>
      <c r="J801" s="3"/>
      <c r="K801" s="3"/>
    </row>
    <row r="802" spans="7:11" ht="13.5" customHeight="1" x14ac:dyDescent="0.25">
      <c r="G802" s="3"/>
      <c r="H802" s="3"/>
      <c r="I802" s="2"/>
      <c r="J802" s="3"/>
      <c r="K802" s="3"/>
    </row>
    <row r="803" spans="7:11" ht="13.5" customHeight="1" x14ac:dyDescent="0.25">
      <c r="G803" s="3"/>
      <c r="H803" s="3"/>
      <c r="I803" s="2"/>
      <c r="J803" s="3"/>
      <c r="K803" s="3"/>
    </row>
    <row r="804" spans="7:11" ht="13.5" customHeight="1" x14ac:dyDescent="0.25">
      <c r="G804" s="3"/>
      <c r="H804" s="3"/>
      <c r="I804" s="2"/>
      <c r="J804" s="3"/>
      <c r="K804" s="3"/>
    </row>
    <row r="805" spans="7:11" ht="13.5" customHeight="1" x14ac:dyDescent="0.25">
      <c r="G805" s="3"/>
      <c r="H805" s="3"/>
      <c r="I805" s="2"/>
      <c r="J805" s="3"/>
      <c r="K805" s="3"/>
    </row>
    <row r="806" spans="7:11" ht="13.5" customHeight="1" x14ac:dyDescent="0.25">
      <c r="G806" s="3"/>
      <c r="H806" s="3"/>
      <c r="I806" s="2"/>
      <c r="J806" s="3"/>
      <c r="K806" s="3"/>
    </row>
    <row r="807" spans="7:11" ht="13.5" customHeight="1" x14ac:dyDescent="0.25">
      <c r="G807" s="3"/>
      <c r="H807" s="3"/>
      <c r="I807" s="2"/>
      <c r="J807" s="3"/>
      <c r="K807" s="3"/>
    </row>
    <row r="808" spans="7:11" ht="13.5" customHeight="1" x14ac:dyDescent="0.25">
      <c r="G808" s="3"/>
      <c r="H808" s="3"/>
      <c r="I808" s="2"/>
      <c r="J808" s="3"/>
      <c r="K808" s="3"/>
    </row>
    <row r="809" spans="7:11" ht="13.5" customHeight="1" x14ac:dyDescent="0.25">
      <c r="G809" s="3"/>
      <c r="H809" s="3"/>
      <c r="I809" s="2"/>
      <c r="J809" s="3"/>
      <c r="K809" s="3"/>
    </row>
    <row r="810" spans="7:11" ht="13.5" customHeight="1" x14ac:dyDescent="0.25">
      <c r="G810" s="3"/>
      <c r="H810" s="3"/>
      <c r="I810" s="2"/>
      <c r="J810" s="3"/>
      <c r="K810" s="3"/>
    </row>
    <row r="811" spans="7:11" ht="13.5" customHeight="1" x14ac:dyDescent="0.25">
      <c r="G811" s="3"/>
      <c r="H811" s="3"/>
      <c r="I811" s="2"/>
      <c r="J811" s="3"/>
      <c r="K811" s="3"/>
    </row>
    <row r="812" spans="7:11" ht="13.5" customHeight="1" x14ac:dyDescent="0.25">
      <c r="G812" s="3"/>
      <c r="H812" s="3"/>
      <c r="I812" s="2"/>
      <c r="J812" s="3"/>
      <c r="K812" s="3"/>
    </row>
    <row r="813" spans="7:11" ht="13.5" customHeight="1" x14ac:dyDescent="0.25">
      <c r="G813" s="3"/>
      <c r="H813" s="3"/>
      <c r="I813" s="2"/>
      <c r="J813" s="3"/>
      <c r="K813" s="3"/>
    </row>
    <row r="814" spans="7:11" ht="13.5" customHeight="1" x14ac:dyDescent="0.25">
      <c r="G814" s="3"/>
      <c r="H814" s="3"/>
      <c r="I814" s="2"/>
      <c r="J814" s="3"/>
      <c r="K814" s="3"/>
    </row>
    <row r="815" spans="7:11" ht="13.5" customHeight="1" x14ac:dyDescent="0.25">
      <c r="G815" s="3"/>
      <c r="H815" s="3"/>
      <c r="I815" s="2"/>
      <c r="J815" s="3"/>
      <c r="K815" s="3"/>
    </row>
    <row r="816" spans="7:11" ht="13.5" customHeight="1" x14ac:dyDescent="0.25">
      <c r="G816" s="3"/>
      <c r="H816" s="3"/>
      <c r="I816" s="2"/>
      <c r="J816" s="3"/>
      <c r="K816" s="3"/>
    </row>
    <row r="817" spans="7:11" ht="13.5" customHeight="1" x14ac:dyDescent="0.25">
      <c r="G817" s="3"/>
      <c r="H817" s="3"/>
      <c r="I817" s="2"/>
      <c r="J817" s="3"/>
      <c r="K817" s="3"/>
    </row>
    <row r="818" spans="7:11" ht="13.5" customHeight="1" x14ac:dyDescent="0.25">
      <c r="G818" s="3"/>
      <c r="H818" s="3"/>
      <c r="I818" s="2"/>
      <c r="J818" s="3"/>
      <c r="K818" s="3"/>
    </row>
    <row r="819" spans="7:11" ht="13.5" customHeight="1" x14ac:dyDescent="0.25">
      <c r="G819" s="3"/>
      <c r="H819" s="3"/>
      <c r="I819" s="2"/>
      <c r="J819" s="3"/>
      <c r="K819" s="3"/>
    </row>
    <row r="820" spans="7:11" ht="13.5" customHeight="1" x14ac:dyDescent="0.25">
      <c r="G820" s="3"/>
      <c r="H820" s="3"/>
      <c r="I820" s="2"/>
      <c r="J820" s="3"/>
      <c r="K820" s="3"/>
    </row>
    <row r="821" spans="7:11" ht="13.5" customHeight="1" x14ac:dyDescent="0.25">
      <c r="G821" s="3"/>
      <c r="H821" s="3"/>
      <c r="I821" s="2"/>
      <c r="J821" s="3"/>
      <c r="K821" s="3"/>
    </row>
    <row r="822" spans="7:11" ht="13.5" customHeight="1" x14ac:dyDescent="0.25">
      <c r="G822" s="3"/>
      <c r="H822" s="3"/>
      <c r="I822" s="2"/>
      <c r="J822" s="3"/>
      <c r="K822" s="3"/>
    </row>
    <row r="823" spans="7:11" ht="13.5" customHeight="1" x14ac:dyDescent="0.25">
      <c r="G823" s="3"/>
      <c r="H823" s="3"/>
      <c r="I823" s="2"/>
      <c r="J823" s="3"/>
      <c r="K823" s="3"/>
    </row>
    <row r="824" spans="7:11" ht="13.5" customHeight="1" x14ac:dyDescent="0.25">
      <c r="G824" s="3"/>
      <c r="H824" s="3"/>
      <c r="I824" s="2"/>
      <c r="J824" s="3"/>
      <c r="K824" s="3"/>
    </row>
    <row r="825" spans="7:11" ht="13.5" customHeight="1" x14ac:dyDescent="0.25">
      <c r="G825" s="3"/>
      <c r="H825" s="3"/>
      <c r="I825" s="2"/>
      <c r="J825" s="3"/>
      <c r="K825" s="3"/>
    </row>
    <row r="826" spans="7:11" ht="13.5" customHeight="1" x14ac:dyDescent="0.25">
      <c r="G826" s="3"/>
      <c r="H826" s="3"/>
      <c r="I826" s="2"/>
      <c r="J826" s="3"/>
      <c r="K826" s="3"/>
    </row>
    <row r="827" spans="7:11" ht="13.5" customHeight="1" x14ac:dyDescent="0.25">
      <c r="G827" s="3"/>
      <c r="H827" s="3"/>
      <c r="I827" s="2"/>
      <c r="J827" s="3"/>
      <c r="K827" s="3"/>
    </row>
    <row r="828" spans="7:11" ht="13.5" customHeight="1" x14ac:dyDescent="0.25">
      <c r="G828" s="3"/>
      <c r="H828" s="3"/>
      <c r="I828" s="2"/>
      <c r="J828" s="3"/>
      <c r="K828" s="3"/>
    </row>
    <row r="829" spans="7:11" ht="13.5" customHeight="1" x14ac:dyDescent="0.25">
      <c r="G829" s="3"/>
      <c r="H829" s="3"/>
      <c r="I829" s="2"/>
      <c r="J829" s="3"/>
      <c r="K829" s="3"/>
    </row>
    <row r="830" spans="7:11" ht="13.5" customHeight="1" x14ac:dyDescent="0.25">
      <c r="G830" s="3"/>
      <c r="H830" s="3"/>
      <c r="I830" s="2"/>
      <c r="J830" s="3"/>
      <c r="K830" s="3"/>
    </row>
    <row r="831" spans="7:11" ht="13.5" customHeight="1" x14ac:dyDescent="0.25">
      <c r="G831" s="3"/>
      <c r="H831" s="3"/>
      <c r="I831" s="2"/>
      <c r="J831" s="3"/>
      <c r="K831" s="3"/>
    </row>
    <row r="832" spans="7:11" ht="13.5" customHeight="1" x14ac:dyDescent="0.25">
      <c r="G832" s="3"/>
      <c r="H832" s="3"/>
      <c r="I832" s="2"/>
      <c r="J832" s="3"/>
      <c r="K832" s="3"/>
    </row>
    <row r="833" spans="7:11" ht="13.5" customHeight="1" x14ac:dyDescent="0.25">
      <c r="G833" s="3"/>
      <c r="H833" s="3"/>
      <c r="I833" s="2"/>
      <c r="J833" s="3"/>
      <c r="K833" s="3"/>
    </row>
    <row r="834" spans="7:11" ht="13.5" customHeight="1" x14ac:dyDescent="0.25">
      <c r="G834" s="3"/>
      <c r="H834" s="3"/>
      <c r="I834" s="2"/>
      <c r="J834" s="3"/>
      <c r="K834" s="3"/>
    </row>
    <row r="835" spans="7:11" ht="13.5" customHeight="1" x14ac:dyDescent="0.25">
      <c r="G835" s="3"/>
      <c r="H835" s="3"/>
      <c r="I835" s="2"/>
      <c r="J835" s="3"/>
      <c r="K835" s="3"/>
    </row>
    <row r="836" spans="7:11" ht="13.5" customHeight="1" x14ac:dyDescent="0.25">
      <c r="G836" s="3"/>
      <c r="H836" s="3"/>
      <c r="I836" s="2"/>
      <c r="J836" s="3"/>
      <c r="K836" s="3"/>
    </row>
    <row r="837" spans="7:11" ht="13.5" customHeight="1" x14ac:dyDescent="0.25">
      <c r="G837" s="3"/>
      <c r="H837" s="3"/>
      <c r="I837" s="2"/>
      <c r="J837" s="3"/>
      <c r="K837" s="3"/>
    </row>
    <row r="838" spans="7:11" ht="13.5" customHeight="1" x14ac:dyDescent="0.25">
      <c r="G838" s="3"/>
      <c r="H838" s="3"/>
      <c r="I838" s="2"/>
      <c r="J838" s="3"/>
      <c r="K838" s="3"/>
    </row>
    <row r="839" spans="7:11" ht="13.5" customHeight="1" x14ac:dyDescent="0.25">
      <c r="G839" s="3"/>
      <c r="H839" s="3"/>
      <c r="I839" s="2"/>
      <c r="J839" s="3"/>
      <c r="K839" s="3"/>
    </row>
    <row r="840" spans="7:11" ht="13.5" customHeight="1" x14ac:dyDescent="0.25">
      <c r="G840" s="3"/>
      <c r="H840" s="3"/>
      <c r="I840" s="2"/>
      <c r="J840" s="3"/>
      <c r="K840" s="3"/>
    </row>
    <row r="841" spans="7:11" ht="13.5" customHeight="1" x14ac:dyDescent="0.25">
      <c r="G841" s="3"/>
      <c r="H841" s="3"/>
      <c r="I841" s="2"/>
      <c r="J841" s="3"/>
      <c r="K841" s="3"/>
    </row>
    <row r="842" spans="7:11" ht="13.5" customHeight="1" x14ac:dyDescent="0.25">
      <c r="G842" s="3"/>
      <c r="H842" s="3"/>
      <c r="I842" s="2"/>
      <c r="J842" s="3"/>
      <c r="K842" s="3"/>
    </row>
    <row r="843" spans="7:11" ht="13.5" customHeight="1" x14ac:dyDescent="0.25">
      <c r="G843" s="3"/>
      <c r="H843" s="3"/>
      <c r="I843" s="2"/>
      <c r="J843" s="3"/>
      <c r="K843" s="3"/>
    </row>
    <row r="844" spans="7:11" ht="13.5" customHeight="1" x14ac:dyDescent="0.25">
      <c r="G844" s="3"/>
      <c r="H844" s="3"/>
      <c r="I844" s="2"/>
      <c r="J844" s="3"/>
      <c r="K844" s="3"/>
    </row>
    <row r="845" spans="7:11" ht="13.5" customHeight="1" x14ac:dyDescent="0.25">
      <c r="G845" s="3"/>
      <c r="H845" s="3"/>
      <c r="I845" s="2"/>
      <c r="J845" s="3"/>
      <c r="K845" s="3"/>
    </row>
    <row r="846" spans="7:11" ht="13.5" customHeight="1" x14ac:dyDescent="0.25">
      <c r="G846" s="3"/>
      <c r="H846" s="3"/>
      <c r="I846" s="2"/>
      <c r="J846" s="3"/>
      <c r="K846" s="3"/>
    </row>
    <row r="847" spans="7:11" ht="13.5" customHeight="1" x14ac:dyDescent="0.25">
      <c r="G847" s="3"/>
      <c r="H847" s="3"/>
      <c r="I847" s="2"/>
      <c r="J847" s="3"/>
      <c r="K847" s="3"/>
    </row>
    <row r="848" spans="7:11" ht="13.5" customHeight="1" x14ac:dyDescent="0.25">
      <c r="G848" s="3"/>
      <c r="H848" s="3"/>
      <c r="I848" s="2"/>
      <c r="J848" s="3"/>
      <c r="K848" s="3"/>
    </row>
    <row r="849" spans="7:11" ht="13.5" customHeight="1" x14ac:dyDescent="0.25">
      <c r="G849" s="3"/>
      <c r="H849" s="3"/>
      <c r="I849" s="2"/>
      <c r="J849" s="3"/>
      <c r="K849" s="3"/>
    </row>
    <row r="850" spans="7:11" ht="13.5" customHeight="1" x14ac:dyDescent="0.25">
      <c r="G850" s="3"/>
      <c r="H850" s="3"/>
      <c r="I850" s="2"/>
      <c r="J850" s="3"/>
      <c r="K850" s="3"/>
    </row>
    <row r="851" spans="7:11" ht="13.5" customHeight="1" x14ac:dyDescent="0.25">
      <c r="G851" s="3"/>
      <c r="H851" s="3"/>
      <c r="I851" s="2"/>
      <c r="J851" s="3"/>
      <c r="K851" s="3"/>
    </row>
    <row r="852" spans="7:11" ht="13.5" customHeight="1" x14ac:dyDescent="0.25">
      <c r="G852" s="3"/>
      <c r="H852" s="3"/>
      <c r="I852" s="2"/>
      <c r="J852" s="3"/>
      <c r="K852" s="3"/>
    </row>
    <row r="853" spans="7:11" ht="13.5" customHeight="1" x14ac:dyDescent="0.25">
      <c r="G853" s="3"/>
      <c r="H853" s="3"/>
      <c r="I853" s="2"/>
      <c r="J853" s="3"/>
      <c r="K853" s="3"/>
    </row>
    <row r="854" spans="7:11" ht="13.5" customHeight="1" x14ac:dyDescent="0.25">
      <c r="G854" s="3"/>
      <c r="H854" s="3"/>
      <c r="I854" s="2"/>
      <c r="J854" s="3"/>
      <c r="K854" s="3"/>
    </row>
    <row r="855" spans="7:11" ht="13.5" customHeight="1" x14ac:dyDescent="0.25">
      <c r="G855" s="3"/>
      <c r="H855" s="3"/>
      <c r="I855" s="2"/>
      <c r="J855" s="3"/>
      <c r="K855" s="3"/>
    </row>
    <row r="856" spans="7:11" ht="13.5" customHeight="1" x14ac:dyDescent="0.25">
      <c r="G856" s="3"/>
      <c r="H856" s="3"/>
      <c r="I856" s="2"/>
      <c r="J856" s="3"/>
      <c r="K856" s="3"/>
    </row>
    <row r="857" spans="7:11" ht="13.5" customHeight="1" x14ac:dyDescent="0.25">
      <c r="G857" s="3"/>
      <c r="H857" s="3"/>
      <c r="I857" s="2"/>
      <c r="J857" s="3"/>
      <c r="K857" s="3"/>
    </row>
    <row r="858" spans="7:11" ht="13.5" customHeight="1" x14ac:dyDescent="0.25">
      <c r="G858" s="3"/>
      <c r="H858" s="3"/>
      <c r="I858" s="2"/>
      <c r="J858" s="3"/>
      <c r="K858" s="3"/>
    </row>
    <row r="859" spans="7:11" ht="13.5" customHeight="1" x14ac:dyDescent="0.25">
      <c r="G859" s="3"/>
      <c r="H859" s="3"/>
      <c r="I859" s="2"/>
      <c r="J859" s="3"/>
      <c r="K859" s="3"/>
    </row>
    <row r="860" spans="7:11" ht="13.5" customHeight="1" x14ac:dyDescent="0.25">
      <c r="G860" s="3"/>
      <c r="H860" s="3"/>
      <c r="I860" s="2"/>
      <c r="J860" s="3"/>
      <c r="K860" s="3"/>
    </row>
    <row r="861" spans="7:11" ht="13.5" customHeight="1" x14ac:dyDescent="0.25">
      <c r="G861" s="3"/>
      <c r="H861" s="3"/>
      <c r="I861" s="2"/>
      <c r="J861" s="3"/>
      <c r="K861" s="3"/>
    </row>
    <row r="862" spans="7:11" ht="13.5" customHeight="1" x14ac:dyDescent="0.25">
      <c r="G862" s="3"/>
      <c r="H862" s="3"/>
      <c r="I862" s="2"/>
      <c r="J862" s="3"/>
      <c r="K862" s="3"/>
    </row>
    <row r="863" spans="7:11" ht="13.5" customHeight="1" x14ac:dyDescent="0.25">
      <c r="G863" s="3"/>
      <c r="H863" s="3"/>
      <c r="I863" s="2"/>
      <c r="J863" s="3"/>
      <c r="K863" s="3"/>
    </row>
    <row r="864" spans="7:11" ht="13.5" customHeight="1" x14ac:dyDescent="0.25">
      <c r="G864" s="3"/>
      <c r="H864" s="3"/>
      <c r="I864" s="2"/>
      <c r="J864" s="3"/>
      <c r="K864" s="3"/>
    </row>
    <row r="865" spans="7:11" ht="13.5" customHeight="1" x14ac:dyDescent="0.25">
      <c r="G865" s="3"/>
      <c r="H865" s="3"/>
      <c r="I865" s="2"/>
      <c r="J865" s="3"/>
      <c r="K865" s="3"/>
    </row>
    <row r="866" spans="7:11" ht="13.5" customHeight="1" x14ac:dyDescent="0.25">
      <c r="G866" s="3"/>
      <c r="H866" s="3"/>
      <c r="I866" s="2"/>
      <c r="J866" s="3"/>
      <c r="K866" s="3"/>
    </row>
    <row r="867" spans="7:11" ht="13.5" customHeight="1" x14ac:dyDescent="0.25">
      <c r="G867" s="3"/>
      <c r="H867" s="3"/>
      <c r="I867" s="2"/>
      <c r="J867" s="3"/>
      <c r="K867" s="3"/>
    </row>
    <row r="868" spans="7:11" ht="13.5" customHeight="1" x14ac:dyDescent="0.25">
      <c r="G868" s="3"/>
      <c r="H868" s="3"/>
      <c r="I868" s="2"/>
      <c r="J868" s="3"/>
      <c r="K868" s="3"/>
    </row>
    <row r="869" spans="7:11" ht="13.5" customHeight="1" x14ac:dyDescent="0.25">
      <c r="G869" s="3"/>
      <c r="H869" s="3"/>
      <c r="I869" s="2"/>
      <c r="J869" s="3"/>
      <c r="K869" s="3"/>
    </row>
    <row r="870" spans="7:11" ht="13.5" customHeight="1" x14ac:dyDescent="0.25">
      <c r="G870" s="3"/>
      <c r="H870" s="3"/>
      <c r="I870" s="2"/>
      <c r="J870" s="3"/>
      <c r="K870" s="3"/>
    </row>
    <row r="871" spans="7:11" ht="13.5" customHeight="1" x14ac:dyDescent="0.25">
      <c r="G871" s="3"/>
      <c r="H871" s="3"/>
      <c r="I871" s="2"/>
      <c r="J871" s="3"/>
      <c r="K871" s="3"/>
    </row>
    <row r="872" spans="7:11" ht="13.5" customHeight="1" x14ac:dyDescent="0.25">
      <c r="G872" s="3"/>
      <c r="H872" s="3"/>
      <c r="I872" s="2"/>
      <c r="J872" s="3"/>
      <c r="K872" s="3"/>
    </row>
    <row r="873" spans="7:11" ht="13.5" customHeight="1" x14ac:dyDescent="0.25">
      <c r="G873" s="3"/>
      <c r="H873" s="3"/>
      <c r="I873" s="2"/>
      <c r="J873" s="3"/>
      <c r="K873" s="3"/>
    </row>
    <row r="874" spans="7:11" ht="13.5" customHeight="1" x14ac:dyDescent="0.25">
      <c r="G874" s="3"/>
      <c r="H874" s="3"/>
      <c r="I874" s="2"/>
      <c r="J874" s="3"/>
      <c r="K874" s="3"/>
    </row>
    <row r="875" spans="7:11" ht="13.5" customHeight="1" x14ac:dyDescent="0.25">
      <c r="G875" s="3"/>
      <c r="H875" s="3"/>
      <c r="I875" s="2"/>
      <c r="J875" s="3"/>
      <c r="K875" s="3"/>
    </row>
    <row r="876" spans="7:11" ht="13.5" customHeight="1" x14ac:dyDescent="0.25">
      <c r="G876" s="3"/>
      <c r="H876" s="3"/>
      <c r="I876" s="2"/>
      <c r="J876" s="3"/>
      <c r="K876" s="3"/>
    </row>
    <row r="877" spans="7:11" ht="13.5" customHeight="1" x14ac:dyDescent="0.25">
      <c r="G877" s="3"/>
      <c r="H877" s="3"/>
      <c r="I877" s="2"/>
      <c r="J877" s="3"/>
      <c r="K877" s="3"/>
    </row>
    <row r="878" spans="7:11" ht="13.5" customHeight="1" x14ac:dyDescent="0.25">
      <c r="G878" s="3"/>
      <c r="H878" s="3"/>
      <c r="I878" s="2"/>
      <c r="J878" s="3"/>
      <c r="K878" s="3"/>
    </row>
    <row r="879" spans="7:11" ht="13.5" customHeight="1" x14ac:dyDescent="0.25">
      <c r="G879" s="3"/>
      <c r="H879" s="3"/>
      <c r="I879" s="2"/>
      <c r="J879" s="3"/>
      <c r="K879" s="3"/>
    </row>
    <row r="880" spans="7:11" ht="13.5" customHeight="1" x14ac:dyDescent="0.25">
      <c r="G880" s="3"/>
      <c r="H880" s="3"/>
      <c r="I880" s="2"/>
      <c r="J880" s="3"/>
      <c r="K880" s="3"/>
    </row>
    <row r="881" spans="7:11" ht="13.5" customHeight="1" x14ac:dyDescent="0.25">
      <c r="G881" s="3"/>
      <c r="H881" s="3"/>
      <c r="I881" s="2"/>
      <c r="J881" s="3"/>
      <c r="K881" s="3"/>
    </row>
    <row r="882" spans="7:11" ht="13.5" customHeight="1" x14ac:dyDescent="0.25">
      <c r="G882" s="3"/>
      <c r="H882" s="3"/>
      <c r="I882" s="2"/>
      <c r="J882" s="3"/>
      <c r="K882" s="3"/>
    </row>
    <row r="883" spans="7:11" ht="13.5" customHeight="1" x14ac:dyDescent="0.25">
      <c r="G883" s="3"/>
      <c r="H883" s="3"/>
      <c r="I883" s="2"/>
      <c r="J883" s="3"/>
      <c r="K883" s="3"/>
    </row>
    <row r="884" spans="7:11" ht="13.5" customHeight="1" x14ac:dyDescent="0.25">
      <c r="G884" s="3"/>
      <c r="H884" s="3"/>
      <c r="I884" s="2"/>
      <c r="J884" s="3"/>
      <c r="K884" s="3"/>
    </row>
    <row r="885" spans="7:11" ht="13.5" customHeight="1" x14ac:dyDescent="0.25">
      <c r="G885" s="3"/>
      <c r="H885" s="3"/>
      <c r="I885" s="2"/>
      <c r="J885" s="3"/>
      <c r="K885" s="3"/>
    </row>
    <row r="886" spans="7:11" ht="13.5" customHeight="1" x14ac:dyDescent="0.25">
      <c r="G886" s="3"/>
      <c r="H886" s="3"/>
      <c r="I886" s="2"/>
      <c r="J886" s="3"/>
      <c r="K886" s="3"/>
    </row>
    <row r="887" spans="7:11" ht="13.5" customHeight="1" x14ac:dyDescent="0.25">
      <c r="G887" s="3"/>
      <c r="H887" s="3"/>
      <c r="I887" s="2"/>
      <c r="J887" s="3"/>
      <c r="K887" s="3"/>
    </row>
    <row r="888" spans="7:11" ht="13.5" customHeight="1" x14ac:dyDescent="0.25">
      <c r="G888" s="3"/>
      <c r="H888" s="3"/>
      <c r="I888" s="2"/>
      <c r="J888" s="3"/>
      <c r="K888" s="3"/>
    </row>
    <row r="889" spans="7:11" ht="13.5" customHeight="1" x14ac:dyDescent="0.25">
      <c r="G889" s="3"/>
      <c r="H889" s="3"/>
      <c r="I889" s="2"/>
      <c r="J889" s="3"/>
      <c r="K889" s="3"/>
    </row>
    <row r="890" spans="7:11" ht="13.5" customHeight="1" x14ac:dyDescent="0.25">
      <c r="G890" s="3"/>
      <c r="H890" s="3"/>
      <c r="I890" s="2"/>
      <c r="J890" s="3"/>
      <c r="K890" s="3"/>
    </row>
    <row r="891" spans="7:11" ht="13.5" customHeight="1" x14ac:dyDescent="0.25">
      <c r="G891" s="3"/>
      <c r="H891" s="3"/>
      <c r="I891" s="2"/>
      <c r="J891" s="3"/>
      <c r="K891" s="3"/>
    </row>
    <row r="892" spans="7:11" ht="13.5" customHeight="1" x14ac:dyDescent="0.25">
      <c r="G892" s="3"/>
      <c r="H892" s="3"/>
      <c r="I892" s="2"/>
      <c r="J892" s="3"/>
      <c r="K892" s="3"/>
    </row>
    <row r="893" spans="7:11" ht="13.5" customHeight="1" x14ac:dyDescent="0.25">
      <c r="G893" s="3"/>
      <c r="H893" s="3"/>
      <c r="I893" s="2"/>
      <c r="J893" s="3"/>
      <c r="K893" s="3"/>
    </row>
    <row r="894" spans="7:11" ht="13.5" customHeight="1" x14ac:dyDescent="0.25">
      <c r="G894" s="3"/>
      <c r="H894" s="3"/>
      <c r="I894" s="2"/>
      <c r="J894" s="3"/>
      <c r="K894" s="3"/>
    </row>
    <row r="895" spans="7:11" ht="13.5" customHeight="1" x14ac:dyDescent="0.25">
      <c r="G895" s="3"/>
      <c r="H895" s="3"/>
      <c r="I895" s="2"/>
      <c r="J895" s="3"/>
      <c r="K895" s="3"/>
    </row>
    <row r="896" spans="7:11" ht="13.5" customHeight="1" x14ac:dyDescent="0.25">
      <c r="G896" s="3"/>
      <c r="H896" s="3"/>
      <c r="I896" s="2"/>
      <c r="J896" s="3"/>
      <c r="K896" s="3"/>
    </row>
    <row r="897" spans="7:11" ht="13.5" customHeight="1" x14ac:dyDescent="0.25">
      <c r="G897" s="3"/>
      <c r="H897" s="3"/>
      <c r="I897" s="2"/>
      <c r="J897" s="3"/>
      <c r="K897" s="3"/>
    </row>
    <row r="898" spans="7:11" ht="13.5" customHeight="1" x14ac:dyDescent="0.25">
      <c r="G898" s="3"/>
      <c r="H898" s="3"/>
      <c r="I898" s="2"/>
      <c r="J898" s="3"/>
      <c r="K898" s="3"/>
    </row>
    <row r="899" spans="7:11" ht="13.5" customHeight="1" x14ac:dyDescent="0.25">
      <c r="G899" s="3"/>
      <c r="H899" s="3"/>
      <c r="I899" s="2"/>
      <c r="J899" s="3"/>
      <c r="K899" s="3"/>
    </row>
    <row r="900" spans="7:11" ht="13.5" customHeight="1" x14ac:dyDescent="0.25">
      <c r="G900" s="3"/>
      <c r="H900" s="3"/>
      <c r="I900" s="2"/>
      <c r="J900" s="3"/>
      <c r="K900" s="3"/>
    </row>
    <row r="901" spans="7:11" ht="13.5" customHeight="1" x14ac:dyDescent="0.25">
      <c r="G901" s="3"/>
      <c r="H901" s="3"/>
      <c r="I901" s="2"/>
      <c r="J901" s="3"/>
      <c r="K901" s="3"/>
    </row>
    <row r="902" spans="7:11" ht="13.5" customHeight="1" x14ac:dyDescent="0.25">
      <c r="G902" s="3"/>
      <c r="H902" s="3"/>
      <c r="I902" s="2"/>
      <c r="J902" s="3"/>
      <c r="K902" s="3"/>
    </row>
    <row r="903" spans="7:11" ht="13.5" customHeight="1" x14ac:dyDescent="0.25">
      <c r="G903" s="3"/>
      <c r="H903" s="3"/>
      <c r="I903" s="2"/>
      <c r="J903" s="3"/>
      <c r="K903" s="3"/>
    </row>
    <row r="904" spans="7:11" ht="13.5" customHeight="1" x14ac:dyDescent="0.25">
      <c r="G904" s="3"/>
      <c r="H904" s="3"/>
      <c r="I904" s="2"/>
      <c r="J904" s="3"/>
      <c r="K904" s="3"/>
    </row>
    <row r="905" spans="7:11" ht="13.5" customHeight="1" x14ac:dyDescent="0.25">
      <c r="G905" s="3"/>
      <c r="H905" s="3"/>
      <c r="I905" s="2"/>
      <c r="J905" s="3"/>
      <c r="K905" s="3"/>
    </row>
    <row r="906" spans="7:11" ht="13.5" customHeight="1" x14ac:dyDescent="0.25">
      <c r="G906" s="3"/>
      <c r="H906" s="3"/>
      <c r="I906" s="2"/>
      <c r="J906" s="3"/>
      <c r="K906" s="3"/>
    </row>
    <row r="907" spans="7:11" ht="13.5" customHeight="1" x14ac:dyDescent="0.25">
      <c r="G907" s="3"/>
      <c r="H907" s="3"/>
      <c r="I907" s="2"/>
      <c r="J907" s="3"/>
      <c r="K907" s="3"/>
    </row>
    <row r="908" spans="7:11" ht="13.5" customHeight="1" x14ac:dyDescent="0.25">
      <c r="G908" s="3"/>
      <c r="H908" s="3"/>
      <c r="I908" s="2"/>
      <c r="J908" s="3"/>
      <c r="K908" s="3"/>
    </row>
    <row r="909" spans="7:11" ht="13.5" customHeight="1" x14ac:dyDescent="0.25">
      <c r="G909" s="3"/>
      <c r="H909" s="3"/>
      <c r="I909" s="2"/>
      <c r="J909" s="3"/>
      <c r="K909" s="3"/>
    </row>
    <row r="910" spans="7:11" ht="13.5" customHeight="1" x14ac:dyDescent="0.25">
      <c r="G910" s="3"/>
      <c r="H910" s="3"/>
      <c r="I910" s="2"/>
      <c r="J910" s="3"/>
      <c r="K910" s="3"/>
    </row>
    <row r="911" spans="7:11" ht="13.5" customHeight="1" x14ac:dyDescent="0.25">
      <c r="G911" s="3"/>
      <c r="H911" s="3"/>
      <c r="I911" s="2"/>
      <c r="J911" s="3"/>
      <c r="K911" s="3"/>
    </row>
    <row r="912" spans="7:11" ht="13.5" customHeight="1" x14ac:dyDescent="0.25">
      <c r="G912" s="3"/>
      <c r="H912" s="3"/>
      <c r="I912" s="2"/>
      <c r="J912" s="3"/>
      <c r="K912" s="3"/>
    </row>
    <row r="913" spans="7:11" ht="13.5" customHeight="1" x14ac:dyDescent="0.25">
      <c r="G913" s="3"/>
      <c r="H913" s="3"/>
      <c r="I913" s="2"/>
      <c r="J913" s="3"/>
      <c r="K913" s="3"/>
    </row>
    <row r="914" spans="7:11" ht="13.5" customHeight="1" x14ac:dyDescent="0.25">
      <c r="G914" s="3"/>
      <c r="H914" s="3"/>
      <c r="I914" s="2"/>
      <c r="J914" s="3"/>
      <c r="K914" s="3"/>
    </row>
    <row r="915" spans="7:11" ht="13.5" customHeight="1" x14ac:dyDescent="0.25">
      <c r="G915" s="3"/>
      <c r="H915" s="3"/>
      <c r="I915" s="2"/>
      <c r="J915" s="3"/>
      <c r="K915" s="3"/>
    </row>
    <row r="916" spans="7:11" ht="13.5" customHeight="1" x14ac:dyDescent="0.25">
      <c r="G916" s="3"/>
      <c r="H916" s="3"/>
      <c r="I916" s="2"/>
      <c r="J916" s="3"/>
      <c r="K916" s="3"/>
    </row>
    <row r="917" spans="7:11" ht="13.5" customHeight="1" x14ac:dyDescent="0.25">
      <c r="G917" s="3"/>
      <c r="H917" s="3"/>
      <c r="I917" s="2"/>
      <c r="J917" s="3"/>
      <c r="K917" s="3"/>
    </row>
    <row r="918" spans="7:11" ht="13.5" customHeight="1" x14ac:dyDescent="0.25">
      <c r="G918" s="3"/>
      <c r="H918" s="3"/>
      <c r="I918" s="2"/>
      <c r="J918" s="3"/>
      <c r="K918" s="3"/>
    </row>
    <row r="919" spans="7:11" ht="13.5" customHeight="1" x14ac:dyDescent="0.25">
      <c r="G919" s="3"/>
      <c r="H919" s="3"/>
      <c r="I919" s="2"/>
      <c r="J919" s="3"/>
      <c r="K919" s="3"/>
    </row>
    <row r="920" spans="7:11" ht="13.5" customHeight="1" x14ac:dyDescent="0.25">
      <c r="G920" s="3"/>
      <c r="H920" s="3"/>
      <c r="I920" s="2"/>
      <c r="J920" s="3"/>
      <c r="K920" s="3"/>
    </row>
    <row r="921" spans="7:11" ht="13.5" customHeight="1" x14ac:dyDescent="0.25">
      <c r="G921" s="3"/>
      <c r="H921" s="3"/>
      <c r="I921" s="2"/>
      <c r="J921" s="3"/>
      <c r="K921" s="3"/>
    </row>
    <row r="922" spans="7:11" ht="13.5" customHeight="1" x14ac:dyDescent="0.25">
      <c r="G922" s="3"/>
      <c r="H922" s="3"/>
      <c r="I922" s="2"/>
      <c r="J922" s="3"/>
      <c r="K922" s="3"/>
    </row>
    <row r="923" spans="7:11" ht="13.5" customHeight="1" x14ac:dyDescent="0.25">
      <c r="G923" s="3"/>
      <c r="H923" s="3"/>
      <c r="I923" s="2"/>
      <c r="J923" s="3"/>
      <c r="K923" s="3"/>
    </row>
    <row r="924" spans="7:11" ht="13.5" customHeight="1" x14ac:dyDescent="0.25">
      <c r="G924" s="3"/>
      <c r="H924" s="3"/>
      <c r="I924" s="2"/>
      <c r="J924" s="3"/>
      <c r="K924" s="3"/>
    </row>
    <row r="925" spans="7:11" ht="13.5" customHeight="1" x14ac:dyDescent="0.25">
      <c r="G925" s="3"/>
      <c r="H925" s="3"/>
      <c r="I925" s="2"/>
      <c r="J925" s="3"/>
      <c r="K925" s="3"/>
    </row>
    <row r="926" spans="7:11" ht="13.5" customHeight="1" x14ac:dyDescent="0.25">
      <c r="G926" s="3"/>
      <c r="H926" s="3"/>
      <c r="I926" s="2"/>
      <c r="J926" s="3"/>
      <c r="K926" s="3"/>
    </row>
    <row r="927" spans="7:11" ht="13.5" customHeight="1" x14ac:dyDescent="0.25">
      <c r="G927" s="3"/>
      <c r="H927" s="3"/>
      <c r="I927" s="2"/>
      <c r="J927" s="3"/>
      <c r="K927" s="3"/>
    </row>
    <row r="928" spans="7:11" ht="13.5" customHeight="1" x14ac:dyDescent="0.25">
      <c r="G928" s="3"/>
      <c r="H928" s="3"/>
      <c r="I928" s="2"/>
      <c r="J928" s="3"/>
      <c r="K928" s="3"/>
    </row>
    <row r="929" spans="7:11" ht="13.5" customHeight="1" x14ac:dyDescent="0.25">
      <c r="G929" s="3"/>
      <c r="H929" s="3"/>
      <c r="I929" s="2"/>
      <c r="J929" s="3"/>
      <c r="K929" s="3"/>
    </row>
    <row r="930" spans="7:11" ht="13.5" customHeight="1" x14ac:dyDescent="0.25">
      <c r="G930" s="3"/>
      <c r="H930" s="3"/>
      <c r="I930" s="2"/>
      <c r="J930" s="3"/>
      <c r="K930" s="3"/>
    </row>
    <row r="931" spans="7:11" ht="13.5" customHeight="1" x14ac:dyDescent="0.25">
      <c r="G931" s="3"/>
      <c r="H931" s="3"/>
      <c r="I931" s="2"/>
      <c r="J931" s="3"/>
      <c r="K931" s="3"/>
    </row>
    <row r="932" spans="7:11" ht="13.5" customHeight="1" x14ac:dyDescent="0.25">
      <c r="G932" s="3"/>
      <c r="H932" s="3"/>
      <c r="I932" s="2"/>
      <c r="J932" s="3"/>
      <c r="K932" s="3"/>
    </row>
    <row r="933" spans="7:11" ht="13.5" customHeight="1" x14ac:dyDescent="0.25">
      <c r="G933" s="3"/>
      <c r="H933" s="3"/>
      <c r="I933" s="2"/>
      <c r="J933" s="3"/>
      <c r="K933" s="3"/>
    </row>
    <row r="934" spans="7:11" ht="13.5" customHeight="1" x14ac:dyDescent="0.25">
      <c r="G934" s="3"/>
      <c r="H934" s="3"/>
      <c r="I934" s="2"/>
      <c r="J934" s="3"/>
      <c r="K934" s="3"/>
    </row>
    <row r="935" spans="7:11" ht="13.5" customHeight="1" x14ac:dyDescent="0.25">
      <c r="G935" s="3"/>
      <c r="H935" s="3"/>
      <c r="I935" s="2"/>
      <c r="J935" s="3"/>
      <c r="K935" s="3"/>
    </row>
    <row r="936" spans="7:11" ht="13.5" customHeight="1" x14ac:dyDescent="0.25">
      <c r="G936" s="3"/>
      <c r="H936" s="3"/>
      <c r="I936" s="2"/>
      <c r="J936" s="3"/>
      <c r="K936" s="3"/>
    </row>
    <row r="937" spans="7:11" ht="13.5" customHeight="1" x14ac:dyDescent="0.25">
      <c r="G937" s="3"/>
      <c r="H937" s="3"/>
      <c r="I937" s="2"/>
      <c r="J937" s="3"/>
      <c r="K937" s="3"/>
    </row>
    <row r="938" spans="7:11" ht="13.5" customHeight="1" x14ac:dyDescent="0.25">
      <c r="G938" s="3"/>
      <c r="H938" s="3"/>
      <c r="I938" s="2"/>
      <c r="J938" s="3"/>
      <c r="K938" s="3"/>
    </row>
    <row r="939" spans="7:11" ht="13.5" customHeight="1" x14ac:dyDescent="0.25">
      <c r="G939" s="3"/>
      <c r="H939" s="3"/>
      <c r="I939" s="2"/>
      <c r="J939" s="3"/>
      <c r="K939" s="3"/>
    </row>
    <row r="940" spans="7:11" ht="13.5" customHeight="1" x14ac:dyDescent="0.25">
      <c r="G940" s="3"/>
      <c r="H940" s="3"/>
      <c r="I940" s="2"/>
      <c r="J940" s="3"/>
      <c r="K940" s="3"/>
    </row>
    <row r="941" spans="7:11" ht="13.5" customHeight="1" x14ac:dyDescent="0.25">
      <c r="G941" s="3"/>
      <c r="H941" s="3"/>
      <c r="I941" s="2"/>
      <c r="J941" s="3"/>
      <c r="K941" s="3"/>
    </row>
    <row r="942" spans="7:11" ht="13.5" customHeight="1" x14ac:dyDescent="0.25">
      <c r="G942" s="3"/>
      <c r="H942" s="3"/>
      <c r="I942" s="2"/>
      <c r="J942" s="3"/>
      <c r="K942" s="3"/>
    </row>
    <row r="943" spans="7:11" ht="13.5" customHeight="1" x14ac:dyDescent="0.25">
      <c r="G943" s="3"/>
      <c r="H943" s="3"/>
      <c r="I943" s="2"/>
      <c r="J943" s="3"/>
      <c r="K943" s="3"/>
    </row>
    <row r="944" spans="7:11" ht="13.5" customHeight="1" x14ac:dyDescent="0.25">
      <c r="G944" s="3"/>
      <c r="H944" s="3"/>
      <c r="I944" s="2"/>
      <c r="J944" s="3"/>
      <c r="K944" s="3"/>
    </row>
    <row r="945" spans="7:11" ht="13.5" customHeight="1" x14ac:dyDescent="0.25">
      <c r="G945" s="3"/>
      <c r="H945" s="3"/>
      <c r="I945" s="2"/>
      <c r="J945" s="3"/>
      <c r="K945" s="3"/>
    </row>
    <row r="946" spans="7:11" ht="13.5" customHeight="1" x14ac:dyDescent="0.25">
      <c r="G946" s="3"/>
      <c r="H946" s="3"/>
      <c r="I946" s="2"/>
      <c r="J946" s="3"/>
      <c r="K946" s="3"/>
    </row>
    <row r="947" spans="7:11" ht="13.5" customHeight="1" x14ac:dyDescent="0.25">
      <c r="G947" s="3"/>
      <c r="H947" s="3"/>
      <c r="I947" s="2"/>
      <c r="J947" s="3"/>
      <c r="K947" s="3"/>
    </row>
    <row r="948" spans="7:11" ht="13.5" customHeight="1" x14ac:dyDescent="0.25">
      <c r="G948" s="3"/>
      <c r="H948" s="3"/>
      <c r="I948" s="2"/>
      <c r="J948" s="3"/>
      <c r="K948" s="3"/>
    </row>
    <row r="949" spans="7:11" ht="13.5" customHeight="1" x14ac:dyDescent="0.25">
      <c r="G949" s="3"/>
      <c r="H949" s="3"/>
      <c r="I949" s="2"/>
      <c r="J949" s="3"/>
      <c r="K949" s="3"/>
    </row>
    <row r="950" spans="7:11" ht="13.5" customHeight="1" x14ac:dyDescent="0.25">
      <c r="G950" s="3"/>
      <c r="H950" s="3"/>
      <c r="I950" s="2"/>
      <c r="J950" s="3"/>
      <c r="K950" s="3"/>
    </row>
    <row r="951" spans="7:11" ht="13.5" customHeight="1" x14ac:dyDescent="0.25">
      <c r="G951" s="3"/>
      <c r="H951" s="3"/>
      <c r="I951" s="2"/>
      <c r="J951" s="3"/>
      <c r="K951" s="3"/>
    </row>
    <row r="952" spans="7:11" ht="13.5" customHeight="1" x14ac:dyDescent="0.25">
      <c r="G952" s="3"/>
      <c r="H952" s="3"/>
      <c r="I952" s="2"/>
      <c r="J952" s="3"/>
      <c r="K952" s="3"/>
    </row>
    <row r="953" spans="7:11" ht="13.5" customHeight="1" x14ac:dyDescent="0.25">
      <c r="G953" s="3"/>
      <c r="H953" s="3"/>
      <c r="I953" s="2"/>
      <c r="J953" s="3"/>
      <c r="K953" s="3"/>
    </row>
    <row r="954" spans="7:11" ht="13.5" customHeight="1" x14ac:dyDescent="0.25">
      <c r="G954" s="3"/>
      <c r="H954" s="3"/>
      <c r="I954" s="2"/>
      <c r="J954" s="3"/>
      <c r="K954" s="3"/>
    </row>
    <row r="955" spans="7:11" ht="13.5" customHeight="1" x14ac:dyDescent="0.25">
      <c r="G955" s="3"/>
      <c r="H955" s="3"/>
      <c r="I955" s="2"/>
      <c r="J955" s="3"/>
      <c r="K955" s="3"/>
    </row>
    <row r="956" spans="7:11" ht="13.5" customHeight="1" x14ac:dyDescent="0.25">
      <c r="G956" s="3"/>
      <c r="H956" s="3"/>
      <c r="I956" s="2"/>
      <c r="J956" s="3"/>
      <c r="K956" s="3"/>
    </row>
    <row r="957" spans="7:11" ht="13.5" customHeight="1" x14ac:dyDescent="0.25">
      <c r="G957" s="3"/>
      <c r="H957" s="3"/>
      <c r="I957" s="2"/>
      <c r="J957" s="3"/>
      <c r="K957" s="3"/>
    </row>
    <row r="958" spans="7:11" ht="13.5" customHeight="1" x14ac:dyDescent="0.25">
      <c r="G958" s="3"/>
      <c r="H958" s="3"/>
      <c r="I958" s="2"/>
      <c r="J958" s="3"/>
      <c r="K958" s="3"/>
    </row>
    <row r="959" spans="7:11" ht="13.5" customHeight="1" x14ac:dyDescent="0.25">
      <c r="G959" s="3"/>
      <c r="H959" s="3"/>
      <c r="I959" s="2"/>
      <c r="J959" s="3"/>
      <c r="K959" s="3"/>
    </row>
    <row r="960" spans="7:11" ht="13.5" customHeight="1" x14ac:dyDescent="0.25">
      <c r="G960" s="3"/>
      <c r="H960" s="3"/>
      <c r="I960" s="2"/>
      <c r="J960" s="3"/>
      <c r="K960" s="3"/>
    </row>
    <row r="961" spans="7:11" ht="13.5" customHeight="1" x14ac:dyDescent="0.25">
      <c r="G961" s="3"/>
      <c r="H961" s="3"/>
      <c r="I961" s="2"/>
      <c r="J961" s="3"/>
      <c r="K961" s="3"/>
    </row>
    <row r="962" spans="7:11" ht="13.5" customHeight="1" x14ac:dyDescent="0.25">
      <c r="G962" s="3"/>
      <c r="H962" s="3"/>
      <c r="I962" s="2"/>
      <c r="J962" s="3"/>
      <c r="K962" s="3"/>
    </row>
    <row r="963" spans="7:11" ht="13.5" customHeight="1" x14ac:dyDescent="0.25">
      <c r="G963" s="3"/>
      <c r="H963" s="3"/>
      <c r="I963" s="2"/>
      <c r="J963" s="3"/>
      <c r="K963" s="3"/>
    </row>
    <row r="964" spans="7:11" ht="13.5" customHeight="1" x14ac:dyDescent="0.25">
      <c r="G964" s="3"/>
      <c r="H964" s="3"/>
      <c r="I964" s="2"/>
      <c r="J964" s="3"/>
      <c r="K964" s="3"/>
    </row>
    <row r="965" spans="7:11" ht="13.5" customHeight="1" x14ac:dyDescent="0.25">
      <c r="G965" s="3"/>
      <c r="H965" s="3"/>
      <c r="I965" s="2"/>
      <c r="J965" s="3"/>
      <c r="K965" s="3"/>
    </row>
    <row r="966" spans="7:11" ht="13.5" customHeight="1" x14ac:dyDescent="0.25">
      <c r="G966" s="3"/>
      <c r="H966" s="3"/>
      <c r="I966" s="2"/>
      <c r="J966" s="3"/>
      <c r="K966" s="3"/>
    </row>
    <row r="967" spans="7:11" ht="13.5" customHeight="1" x14ac:dyDescent="0.25">
      <c r="G967" s="3"/>
      <c r="H967" s="3"/>
      <c r="I967" s="2"/>
      <c r="J967" s="3"/>
      <c r="K967" s="3"/>
    </row>
    <row r="968" spans="7:11" ht="13.5" customHeight="1" x14ac:dyDescent="0.25">
      <c r="G968" s="3"/>
      <c r="H968" s="3"/>
      <c r="I968" s="2"/>
      <c r="J968" s="3"/>
      <c r="K968" s="3"/>
    </row>
    <row r="969" spans="7:11" ht="13.5" customHeight="1" x14ac:dyDescent="0.25">
      <c r="G969" s="3"/>
      <c r="H969" s="3"/>
      <c r="I969" s="2"/>
      <c r="J969" s="3"/>
      <c r="K969" s="3"/>
    </row>
    <row r="970" spans="7:11" ht="13.5" customHeight="1" x14ac:dyDescent="0.25">
      <c r="G970" s="3"/>
      <c r="H970" s="3"/>
      <c r="I970" s="2"/>
      <c r="J970" s="3"/>
      <c r="K970" s="3"/>
    </row>
    <row r="971" spans="7:11" ht="13.5" customHeight="1" x14ac:dyDescent="0.25">
      <c r="G971" s="3"/>
      <c r="H971" s="3"/>
      <c r="I971" s="2"/>
      <c r="J971" s="3"/>
      <c r="K971" s="3"/>
    </row>
    <row r="972" spans="7:11" ht="13.5" customHeight="1" x14ac:dyDescent="0.25">
      <c r="G972" s="3"/>
      <c r="H972" s="3"/>
      <c r="I972" s="2"/>
      <c r="J972" s="3"/>
      <c r="K972" s="3"/>
    </row>
    <row r="973" spans="7:11" ht="13.5" customHeight="1" x14ac:dyDescent="0.25">
      <c r="G973" s="3"/>
      <c r="H973" s="3"/>
      <c r="I973" s="2"/>
      <c r="J973" s="3"/>
      <c r="K973" s="3"/>
    </row>
    <row r="974" spans="7:11" ht="13.5" customHeight="1" x14ac:dyDescent="0.25">
      <c r="G974" s="3"/>
      <c r="H974" s="3"/>
      <c r="I974" s="2"/>
      <c r="J974" s="3"/>
      <c r="K974" s="3"/>
    </row>
    <row r="975" spans="7:11" ht="13.5" customHeight="1" x14ac:dyDescent="0.25">
      <c r="G975" s="3"/>
      <c r="H975" s="3"/>
      <c r="I975" s="2"/>
      <c r="J975" s="3"/>
      <c r="K975" s="3"/>
    </row>
    <row r="976" spans="7:11" ht="13.5" customHeight="1" x14ac:dyDescent="0.25">
      <c r="G976" s="3"/>
      <c r="H976" s="3"/>
      <c r="I976" s="2"/>
      <c r="J976" s="3"/>
      <c r="K976" s="3"/>
    </row>
    <row r="977" spans="7:11" ht="13.5" customHeight="1" x14ac:dyDescent="0.25">
      <c r="G977" s="3"/>
      <c r="H977" s="3"/>
      <c r="I977" s="2"/>
      <c r="J977" s="3"/>
      <c r="K977" s="3"/>
    </row>
    <row r="978" spans="7:11" ht="13.5" customHeight="1" x14ac:dyDescent="0.25">
      <c r="G978" s="3"/>
      <c r="H978" s="3"/>
      <c r="I978" s="2"/>
      <c r="J978" s="3"/>
      <c r="K978" s="3"/>
    </row>
    <row r="979" spans="7:11" ht="13.5" customHeight="1" x14ac:dyDescent="0.25">
      <c r="G979" s="3"/>
      <c r="H979" s="3"/>
      <c r="I979" s="2"/>
      <c r="J979" s="3"/>
      <c r="K979" s="3"/>
    </row>
    <row r="980" spans="7:11" ht="13.5" customHeight="1" x14ac:dyDescent="0.25">
      <c r="G980" s="3"/>
      <c r="H980" s="3"/>
      <c r="I980" s="2"/>
      <c r="J980" s="3"/>
      <c r="K980" s="3"/>
    </row>
    <row r="981" spans="7:11" ht="13.5" customHeight="1" x14ac:dyDescent="0.25">
      <c r="G981" s="3"/>
      <c r="H981" s="3"/>
      <c r="I981" s="2"/>
      <c r="J981" s="3"/>
      <c r="K981" s="3"/>
    </row>
    <row r="982" spans="7:11" ht="13.5" customHeight="1" x14ac:dyDescent="0.25">
      <c r="G982" s="3"/>
      <c r="H982" s="3"/>
      <c r="I982" s="2"/>
      <c r="J982" s="3"/>
      <c r="K982" s="3"/>
    </row>
    <row r="983" spans="7:11" ht="13.5" customHeight="1" x14ac:dyDescent="0.25">
      <c r="G983" s="3"/>
      <c r="H983" s="3"/>
      <c r="I983" s="2"/>
      <c r="J983" s="3"/>
      <c r="K983" s="3"/>
    </row>
    <row r="984" spans="7:11" ht="13.5" customHeight="1" x14ac:dyDescent="0.25">
      <c r="G984" s="3"/>
      <c r="H984" s="3"/>
      <c r="I984" s="2"/>
      <c r="J984" s="3"/>
      <c r="K984" s="3"/>
    </row>
    <row r="985" spans="7:11" ht="13.5" customHeight="1" x14ac:dyDescent="0.25">
      <c r="G985" s="3"/>
      <c r="H985" s="3"/>
      <c r="I985" s="2"/>
      <c r="J985" s="3"/>
      <c r="K985" s="3"/>
    </row>
    <row r="986" spans="7:11" ht="13.5" customHeight="1" x14ac:dyDescent="0.25">
      <c r="G986" s="3"/>
      <c r="H986" s="3"/>
      <c r="I986" s="2"/>
      <c r="J986" s="3"/>
      <c r="K986" s="3"/>
    </row>
    <row r="987" spans="7:11" ht="13.5" customHeight="1" x14ac:dyDescent="0.25">
      <c r="G987" s="3"/>
      <c r="H987" s="3"/>
      <c r="I987" s="2"/>
      <c r="J987" s="3"/>
      <c r="K987" s="3"/>
    </row>
    <row r="988" spans="7:11" ht="13.5" customHeight="1" x14ac:dyDescent="0.25">
      <c r="G988" s="3"/>
      <c r="H988" s="3"/>
      <c r="I988" s="2"/>
      <c r="J988" s="3"/>
      <c r="K988" s="3"/>
    </row>
    <row r="989" spans="7:11" ht="13.5" customHeight="1" x14ac:dyDescent="0.25">
      <c r="G989" s="3"/>
      <c r="H989" s="3"/>
      <c r="I989" s="2"/>
      <c r="J989" s="3"/>
      <c r="K989" s="3"/>
    </row>
    <row r="990" spans="7:11" ht="15" customHeight="1" x14ac:dyDescent="0.25">
      <c r="G990" s="3"/>
      <c r="H990" s="3"/>
      <c r="I990" s="2"/>
      <c r="J990" s="3"/>
      <c r="K990" s="3"/>
    </row>
    <row r="991" spans="7:11" ht="15" customHeight="1" x14ac:dyDescent="0.25">
      <c r="G991" s="3"/>
      <c r="H991" s="3"/>
      <c r="I991" s="2"/>
      <c r="J991" s="3"/>
      <c r="K991" s="3"/>
    </row>
    <row r="992" spans="7:11" ht="15" customHeight="1" x14ac:dyDescent="0.25"/>
    <row r="993" ht="15" customHeight="1" x14ac:dyDescent="0.25"/>
    <row r="994" ht="15" customHeight="1" x14ac:dyDescent="0.25"/>
  </sheetData>
  <sheetProtection algorithmName="SHA-512" hashValue="zOn54ufD35BH6Me/0YgSpp9F5YqhrW042s9yigkkAFFFP6ulaQ1bCrfMfaD69FOrJtxXvjIMA+eHB3a+Jswc/g==" saltValue="gGX4mCC1CAdf1urCAqBFPQ==" spinCount="100000" sheet="1" objects="1" scenarios="1"/>
  <protectedRanges>
    <protectedRange password="D85E" sqref="C13:C24 C26:C36" name="Range1"/>
  </protectedRanges>
  <mergeCells count="64">
    <mergeCell ref="N16:O16"/>
    <mergeCell ref="G22:K22"/>
    <mergeCell ref="N31:S31"/>
    <mergeCell ref="G28:L31"/>
    <mergeCell ref="N26:R26"/>
    <mergeCell ref="G26:K26"/>
    <mergeCell ref="N29:R29"/>
    <mergeCell ref="N23:R23"/>
    <mergeCell ref="N24:R24"/>
    <mergeCell ref="N27:R27"/>
    <mergeCell ref="G19:K19"/>
    <mergeCell ref="G20:K20"/>
    <mergeCell ref="G23:K23"/>
    <mergeCell ref="G24:K24"/>
    <mergeCell ref="N19:O19"/>
    <mergeCell ref="N28:R28"/>
    <mergeCell ref="G21:K21"/>
    <mergeCell ref="N22:R22"/>
    <mergeCell ref="N25:R25"/>
    <mergeCell ref="C6:D6"/>
    <mergeCell ref="C8:D8"/>
    <mergeCell ref="D23:D24"/>
    <mergeCell ref="N18:O18"/>
    <mergeCell ref="L17:L18"/>
    <mergeCell ref="G14:H14"/>
    <mergeCell ref="G5:H7"/>
    <mergeCell ref="G12:H12"/>
    <mergeCell ref="G13:H13"/>
    <mergeCell ref="B10:E10"/>
    <mergeCell ref="N17:O17"/>
    <mergeCell ref="N15:O15"/>
    <mergeCell ref="G15:H15"/>
    <mergeCell ref="N20:R20"/>
    <mergeCell ref="B2:S2"/>
    <mergeCell ref="B11:E11"/>
    <mergeCell ref="G17:K18"/>
    <mergeCell ref="N10:S10"/>
    <mergeCell ref="N12:O12"/>
    <mergeCell ref="N13:O13"/>
    <mergeCell ref="N14:O14"/>
    <mergeCell ref="N11:S11"/>
    <mergeCell ref="C5:E5"/>
    <mergeCell ref="G10:L10"/>
    <mergeCell ref="G11:H11"/>
    <mergeCell ref="C7:E7"/>
    <mergeCell ref="B9:E9"/>
    <mergeCell ref="B3:F3"/>
    <mergeCell ref="G16:K16"/>
    <mergeCell ref="N41:S41"/>
    <mergeCell ref="B41:C41"/>
    <mergeCell ref="D41:E41"/>
    <mergeCell ref="D40:E40"/>
    <mergeCell ref="G33:L37"/>
    <mergeCell ref="B39:C39"/>
    <mergeCell ref="D39:E39"/>
    <mergeCell ref="B38:C38"/>
    <mergeCell ref="D38:E38"/>
    <mergeCell ref="B37:C37"/>
    <mergeCell ref="N39:S39"/>
    <mergeCell ref="N40:S40"/>
    <mergeCell ref="N36:S36"/>
    <mergeCell ref="G38:L41"/>
    <mergeCell ref="N34:S35"/>
    <mergeCell ref="N32:S33"/>
  </mergeCells>
  <conditionalFormatting sqref="D38:E39">
    <cfRule type="colorScale" priority="1">
      <colorScale>
        <cfvo type="min"/>
        <cfvo type="max"/>
        <color rgb="FF99FF99"/>
        <color rgb="FFFF8989"/>
      </colorScale>
    </cfRule>
  </conditionalFormatting>
  <conditionalFormatting sqref="L26 S29">
    <cfRule type="colorScale" priority="4">
      <colorScale>
        <cfvo type="min"/>
        <cfvo type="max"/>
        <color rgb="FF99FF99"/>
        <color rgb="FFFF8989"/>
      </colorScale>
    </cfRule>
  </conditionalFormatting>
  <dataValidations disablePrompts="1" xWindow="613" yWindow="206" count="24">
    <dataValidation type="list" allowBlank="1" showInputMessage="1" showErrorMessage="1" prompt="Select Reseident or Non Resident" sqref="C7:E7" xr:uid="{767DC03E-BC4A-4478-85C7-2D6FEEE150B4}">
      <formula1>"RESIDENT,NON RESIDENT"</formula1>
    </dataValidation>
    <dataValidation allowBlank="1" showInputMessage="1" showErrorMessage="1" prompt="Salary before reducing HRA, LTA, standard deductions &amp; professional tax. If applicable, reduce leave encashment (max: 25L)" sqref="C13" xr:uid="{FA869300-4E4F-4DD2-A0C0-452D54B1C28F}"/>
    <dataValidation allowBlank="1" showInputMessage="1" showErrorMessage="1" prompt="Interest paid on housing loan taken for self-occupied property" sqref="C23" xr:uid="{66843586-A358-4D1B-B8CB-3C4CD5788F8F}"/>
    <dataValidation allowBlank="1" showInputMessage="1" showErrorMessage="1" prompt="Includes interest from savings a/c in bank, post office, co-operative society_x000a_" sqref="C16" xr:uid="{3E154155-E685-4A2C-846F-8DD254A8D3DE}"/>
    <dataValidation allowBlank="1" showInputMessage="1" showErrorMessage="1" prompt="Includes interest from term deposits in bank, post office and cooperative societies" sqref="C17" xr:uid="{48F25F40-1039-4822-BFA1-0DD2A874E003}"/>
    <dataValidation allowBlank="1" showInputMessage="1" showErrorMessage="1" prompt="Any other interests not covered above" sqref="C18" xr:uid="{FB1E7662-FE62-4E62-97BC-AE512213CCD2}"/>
    <dataValidation allowBlank="1" showInputMessage="1" showErrorMessage="1" prompt="Interest paid on housing loan taken for rented/let-out property" sqref="C24" xr:uid="{386E8D2D-81C8-4256-9574-ED17450C06DB}"/>
    <dataValidation allowBlank="1" showInputMessage="1" showErrorMessage="1" prompt="Includes taxable freelancing income or any other taxable income" sqref="C21" xr:uid="{8C871C89-39C1-4491-9B8E-C10CD4231206}"/>
    <dataValidation allowBlank="1" showInputMessage="1" showErrorMessage="1" prompt="Eligible HRA Exemption (refer 'HRA Calculator' sheet)" sqref="C26" xr:uid="{34D5DCE6-9708-41B1-AA90-6B1114CA84DB}"/>
    <dataValidation allowBlank="1" showInputMessage="1" showErrorMessage="1" prompt="Amount invested/paid in tax saving instruments such as PPF, ELSS mutual funds, LIC premium, including Employee NPS contribution u/s 80CCD(1) etc. (max: 1.5L)" sqref="C28" xr:uid="{7655572F-BAF3-4F22-9ACF-A5148EF79192}"/>
    <dataValidation allowBlank="1" showInputMessage="1" showErrorMessage="1" prompt="Includes voluntary contribution to National Pension Scheme (NPS) under section 80CCD(1B) subject to certail limits" sqref="C29" xr:uid="{936871DA-61B0-49E0-9454-DCCBBC31EE6E}"/>
    <dataValidation allowBlank="1" showInputMessage="1" showErrorMessage="1" prompt="Medical premium &amp; preventive health checkup fees paid for self &amp; family_x000a_" sqref="C31" xr:uid="{1E87002B-626F-40B5-8E23-EEE2462CD1DE}"/>
    <dataValidation allowBlank="1" showInputMessage="1" showErrorMessage="1" prompt="Medical premium &amp; preventive health checkup fees paid for parents" sqref="C32" xr:uid="{1CBAF685-0542-42DE-8028-322E7C621EEA}"/>
    <dataValidation allowBlank="1" showInputMessage="1" showErrorMessage="1" prompt="Auto Populated" sqref="C33" xr:uid="{2F3C9803-2357-47E2-BA1F-49D6B30A0205}"/>
    <dataValidation allowBlank="1" showInputMessage="1" showErrorMessage="1" prompt="Auto Populated_x000a_" sqref="C34 C27 C30" xr:uid="{7C1767D9-8A4D-43C0-8CCC-7F132DC734AF}"/>
    <dataValidation allowBlank="1" showInputMessage="1" showErrorMessage="1" prompt="Any other eligible deductions under Old tax regime" sqref="D35" xr:uid="{05046CB9-6B27-4232-88F6-2CBAF1177B24}"/>
    <dataValidation allowBlank="1" showInputMessage="1" showErrorMessage="1" prompt="Any other eligible deductions under New tax regime" sqref="E35" xr:uid="{52DF6EBA-EC53-43AF-A4C7-739708EA94D8}"/>
    <dataValidation allowBlank="1" showInputMessage="1" showErrorMessage="1" prompt="Any other eligible exemptions under Old tax regime" sqref="D27" xr:uid="{D56DBDEA-BA27-4700-9EB4-C28C5235B2A1}"/>
    <dataValidation allowBlank="1" showInputMessage="1" showErrorMessage="1" prompt="Any other eligible exemptions under New tax regime" sqref="E27" xr:uid="{E1C77A2F-5AF4-4B1E-9EAC-73AB98C4EAF1}"/>
    <dataValidation allowBlank="1" showInputMessage="1" showErrorMessage="1" prompt="Subject to 14% of Basic+DA for CG employees and 10% of Basic+DA for other employees" sqref="D30" xr:uid="{553C2337-0E49-44D0-85C6-34F8880DF8B8}"/>
    <dataValidation allowBlank="1" showInputMessage="1" showErrorMessage="1" prompt="Subject to 14% of Basic+DA for all employees" sqref="E30" xr:uid="{E95B0E67-562E-475A-8E49-E303AEA78604}"/>
    <dataValidation allowBlank="1" showInputMessage="1" showErrorMessage="1" prompt="Annual rent received on let-out property (Standard deduction @30% will be auto calculated)" sqref="C19 C21:C22" xr:uid="{D32CBAB1-7BE0-403E-9899-E1F319706769}"/>
    <dataValidation allowBlank="1" showInputMessage="1" showErrorMessage="1" prompt="You can also enter freelancing income or any other taxable income not listed separately. However, incomes taxed at special rates (like capital gains, lottery winnings, etc.) are not covered in this calculator." sqref="C20" xr:uid="{1AB6D707-D788-4696-A373-79E16F4268E7}"/>
    <dataValidation allowBlank="1" showInputMessage="1" showErrorMessage="1" promptTitle="Let Out Property" prompt="Under the new tax regime, only interest on loan for let-out property is deductible, limited to the extent of taxable rental income. Technically interest will get nullified and  any excess interest will not be carried forward/set-off with any other incomes" sqref="E24" xr:uid="{47EBF452-357A-40FD-B384-9FF33705E579}"/>
  </dataValidations>
  <pageMargins left="0.7" right="0.7" top="0.75" bottom="0.75" header="0.3" footer="0.3"/>
  <pageSetup paperSize="9" orientation="portrait" verticalDpi="0" r:id="rId1"/>
  <headerFooter>
    <oddFooter>&amp;C_x000D_&amp;1#&amp;"Aptos"&amp;8&amp;K000000 Document Classification: Public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223E-8463-4E62-88F9-0606426C0E1F}">
  <sheetPr>
    <tabColor rgb="FF57E1B8"/>
  </sheetPr>
  <dimension ref="B3:P40"/>
  <sheetViews>
    <sheetView showGridLines="0" zoomScaleNormal="100" workbookViewId="0">
      <selection activeCell="J19" sqref="J19"/>
    </sheetView>
  </sheetViews>
  <sheetFormatPr defaultColWidth="8.85546875" defaultRowHeight="15" x14ac:dyDescent="0.25"/>
  <cols>
    <col min="1" max="1" width="5.85546875" style="1" customWidth="1"/>
    <col min="2" max="8" width="8.85546875" style="1"/>
    <col min="9" max="9" width="4.28515625" style="1" customWidth="1"/>
    <col min="10" max="10" width="20" style="1" bestFit="1" customWidth="1"/>
    <col min="11" max="11" width="20.28515625" style="1" customWidth="1"/>
    <col min="12" max="12" width="17.7109375" style="1" customWidth="1"/>
    <col min="13" max="13" width="3.85546875" style="1" customWidth="1"/>
    <col min="14" max="14" width="21" style="1" customWidth="1"/>
    <col min="15" max="15" width="22.7109375" style="1" customWidth="1"/>
    <col min="16" max="16" width="22.85546875" style="1" customWidth="1"/>
    <col min="17" max="16384" width="8.85546875" style="1"/>
  </cols>
  <sheetData>
    <row r="3" spans="2:16" ht="12.6" customHeight="1" x14ac:dyDescent="0.35">
      <c r="I3" s="23"/>
    </row>
    <row r="4" spans="2:16" ht="21.6" customHeight="1" x14ac:dyDescent="0.35">
      <c r="B4" s="245" t="s">
        <v>62</v>
      </c>
      <c r="C4" s="245"/>
      <c r="D4" s="245"/>
      <c r="E4" s="245"/>
      <c r="F4" s="245"/>
      <c r="G4" s="245"/>
      <c r="H4" s="23"/>
      <c r="I4" s="23"/>
    </row>
    <row r="5" spans="2:16" ht="16.5" x14ac:dyDescent="0.3">
      <c r="J5" s="24"/>
      <c r="K5" s="24"/>
      <c r="L5" s="24"/>
      <c r="M5" s="25"/>
      <c r="N5" s="24"/>
      <c r="O5" s="24"/>
      <c r="P5" s="24"/>
    </row>
    <row r="6" spans="2:16" ht="21.6" customHeight="1" x14ac:dyDescent="0.3">
      <c r="J6" s="247" t="s">
        <v>63</v>
      </c>
      <c r="K6" s="247"/>
      <c r="L6" s="247"/>
      <c r="M6" s="25"/>
      <c r="N6" s="247" t="s">
        <v>64</v>
      </c>
      <c r="O6" s="247"/>
      <c r="P6" s="247"/>
    </row>
    <row r="7" spans="2:16" ht="16.899999999999999" customHeight="1" x14ac:dyDescent="0.3">
      <c r="J7" s="26"/>
      <c r="K7" s="26" t="s">
        <v>77</v>
      </c>
      <c r="L7" s="26" t="s">
        <v>76</v>
      </c>
      <c r="M7" s="25"/>
      <c r="N7" s="26"/>
      <c r="O7" s="26" t="s">
        <v>75</v>
      </c>
      <c r="P7" s="26" t="s">
        <v>76</v>
      </c>
    </row>
    <row r="8" spans="2:16" ht="16.899999999999999" customHeight="1" x14ac:dyDescent="0.3">
      <c r="J8" s="15"/>
      <c r="K8" s="18">
        <f>+'Tax Calculator FY 2025-26'!D22</f>
        <v>2840000</v>
      </c>
      <c r="L8" s="19">
        <f>+'Tax Calculator FY 2025-26'!E22</f>
        <v>2840000</v>
      </c>
      <c r="M8" s="25"/>
      <c r="N8" s="15"/>
      <c r="O8" s="18">
        <f>+'Tax Calculator FY 2025-26'!D37</f>
        <v>1890532</v>
      </c>
      <c r="P8" s="19">
        <f>+'Tax Calculator FY 2025-26'!E37</f>
        <v>2385000</v>
      </c>
    </row>
    <row r="9" spans="2:16" ht="16.5" x14ac:dyDescent="0.3">
      <c r="J9" s="24"/>
      <c r="K9" s="24"/>
      <c r="L9" s="24"/>
      <c r="M9" s="25"/>
      <c r="N9" s="24"/>
      <c r="O9" s="24"/>
      <c r="P9" s="24"/>
    </row>
    <row r="10" spans="2:16" ht="16.5" x14ac:dyDescent="0.3">
      <c r="J10" s="27"/>
      <c r="K10" s="27"/>
      <c r="L10" s="27"/>
      <c r="M10" s="25"/>
      <c r="N10" s="25"/>
      <c r="O10" s="25"/>
      <c r="P10" s="25"/>
    </row>
    <row r="11" spans="2:16" ht="27.6" customHeight="1" x14ac:dyDescent="0.3">
      <c r="J11" s="248" t="s">
        <v>65</v>
      </c>
      <c r="K11" s="248"/>
      <c r="L11" s="248"/>
      <c r="M11" s="25"/>
      <c r="N11" s="24"/>
      <c r="O11" s="24"/>
      <c r="P11" s="24"/>
    </row>
    <row r="12" spans="2:16" ht="20.25" x14ac:dyDescent="0.35">
      <c r="J12" s="26"/>
      <c r="K12" s="26" t="s">
        <v>75</v>
      </c>
      <c r="L12" s="26" t="s">
        <v>76</v>
      </c>
      <c r="M12" s="25"/>
      <c r="N12" s="249" t="s">
        <v>66</v>
      </c>
      <c r="O12" s="249"/>
      <c r="P12" s="249"/>
    </row>
    <row r="13" spans="2:16" ht="20.25" x14ac:dyDescent="0.3">
      <c r="J13" s="15"/>
      <c r="K13" s="18">
        <f>+'Tax Calculator FY 2025-26'!D36</f>
        <v>949468</v>
      </c>
      <c r="L13" s="19">
        <f>+'Tax Calculator FY 2025-26'!E36</f>
        <v>455000</v>
      </c>
      <c r="M13" s="25"/>
      <c r="N13" s="26"/>
      <c r="O13" s="26" t="str">
        <f>+IF(O14&gt;P14,"Old","Old (Recommended)")</f>
        <v>Old</v>
      </c>
      <c r="P13" s="26" t="str">
        <f>+IF(O14&gt;=P14,"New (Recommended)","New")</f>
        <v>New (Recommended)</v>
      </c>
    </row>
    <row r="14" spans="2:16" ht="30.75" x14ac:dyDescent="0.3">
      <c r="J14" s="24"/>
      <c r="K14" s="24"/>
      <c r="L14" s="24"/>
      <c r="M14" s="25"/>
      <c r="N14" s="16"/>
      <c r="O14" s="20">
        <f>+'Tax Calculator FY 2025-26'!D38</f>
        <v>394845.984</v>
      </c>
      <c r="P14" s="21">
        <f>+'Tax Calculator FY 2025-26'!D39</f>
        <v>308100</v>
      </c>
    </row>
    <row r="15" spans="2:16" ht="16.5" x14ac:dyDescent="0.3">
      <c r="J15" s="28" t="s">
        <v>67</v>
      </c>
      <c r="K15" s="17">
        <f>+'Tax Calculator FY 2025-26'!D26+'Tax Calculator FY 2025-26'!D27</f>
        <v>110234</v>
      </c>
      <c r="L15" s="17">
        <f>+'Tax Calculator FY 2025-26'!E27</f>
        <v>80000</v>
      </c>
      <c r="M15" s="25"/>
      <c r="N15" s="24"/>
      <c r="O15" s="24"/>
      <c r="P15" s="24"/>
    </row>
    <row r="16" spans="2:16" ht="16.5" x14ac:dyDescent="0.3">
      <c r="J16" s="28"/>
      <c r="K16" s="14"/>
      <c r="L16" s="17"/>
      <c r="M16" s="25"/>
      <c r="N16" s="28" t="s">
        <v>70</v>
      </c>
      <c r="O16" s="17">
        <f>+'Tax Calculator FY 2025-26'!L19</f>
        <v>379659.6</v>
      </c>
      <c r="P16" s="17">
        <f>+'Tax Calculator FY 2025-26'!S23</f>
        <v>296250</v>
      </c>
    </row>
    <row r="17" spans="10:16" ht="16.5" x14ac:dyDescent="0.3">
      <c r="J17" s="28" t="s">
        <v>87</v>
      </c>
      <c r="K17" s="17">
        <f>+'Tax Calculator FY 2025-26'!D14</f>
        <v>50000</v>
      </c>
      <c r="L17" s="17">
        <f>+'Tax Calculator FY 2025-26'!E14</f>
        <v>75000</v>
      </c>
      <c r="M17" s="25"/>
      <c r="N17" s="28"/>
      <c r="O17" s="29"/>
      <c r="P17" s="29"/>
    </row>
    <row r="18" spans="10:16" ht="16.5" x14ac:dyDescent="0.3">
      <c r="J18" s="28"/>
      <c r="K18" s="17"/>
      <c r="L18" s="17"/>
      <c r="M18" s="25"/>
      <c r="N18" s="28" t="s">
        <v>69</v>
      </c>
      <c r="O18" s="17">
        <f>+'Tax Calculator FY 2025-26'!L20-'Tax Calculator FY 2025-26'!L22</f>
        <v>0</v>
      </c>
      <c r="P18" s="17">
        <f>+'Tax Calculator FY 2025-26'!S24-'Tax Calculator FY 2025-26'!S26</f>
        <v>0</v>
      </c>
    </row>
    <row r="19" spans="10:16" ht="16.5" x14ac:dyDescent="0.3">
      <c r="J19" s="28" t="s">
        <v>68</v>
      </c>
      <c r="K19" s="17">
        <f>+SUM('Tax Calculator FY 2025-26'!D28:D35)</f>
        <v>435000</v>
      </c>
      <c r="L19" s="17">
        <f>+SUM('Tax Calculator FY 2025-26'!E28:E35)</f>
        <v>180000</v>
      </c>
      <c r="M19" s="25"/>
      <c r="N19" s="28"/>
      <c r="O19" s="17"/>
      <c r="P19" s="17"/>
    </row>
    <row r="20" spans="10:16" ht="16.5" x14ac:dyDescent="0.3">
      <c r="J20" s="24"/>
      <c r="K20" s="14"/>
      <c r="L20" s="17"/>
      <c r="M20" s="25"/>
      <c r="N20" s="28" t="s">
        <v>71</v>
      </c>
      <c r="O20" s="17">
        <f>+'Tax Calculator FY 2025-26'!L24</f>
        <v>15186.384</v>
      </c>
      <c r="P20" s="17">
        <f>+'Tax Calculator FY 2025-26'!S28</f>
        <v>11850</v>
      </c>
    </row>
    <row r="21" spans="10:16" ht="16.5" x14ac:dyDescent="0.3">
      <c r="J21" s="28" t="s">
        <v>72</v>
      </c>
      <c r="K21" s="17">
        <f>+SUM('Tax Calculator FY 2025-26'!D23:D24)</f>
        <v>354234</v>
      </c>
      <c r="L21" s="17">
        <f>+'Tax Calculator FY 2025-26'!E24</f>
        <v>120000</v>
      </c>
      <c r="M21" s="25"/>
      <c r="N21" s="24"/>
      <c r="O21" s="24"/>
      <c r="P21" s="24"/>
    </row>
    <row r="22" spans="10:16" ht="16.5" x14ac:dyDescent="0.3">
      <c r="J22" s="24"/>
      <c r="K22" s="24"/>
      <c r="L22" s="24"/>
      <c r="M22" s="25"/>
      <c r="N22" s="24"/>
      <c r="O22" s="24"/>
      <c r="P22" s="24"/>
    </row>
    <row r="24" spans="10:16" x14ac:dyDescent="0.25">
      <c r="J24" s="30"/>
      <c r="K24" s="30"/>
      <c r="L24" s="30"/>
      <c r="M24" s="30"/>
      <c r="N24" s="30"/>
      <c r="O24" s="30"/>
      <c r="P24" s="30"/>
    </row>
    <row r="25" spans="10:16" ht="20.45" customHeight="1" x14ac:dyDescent="0.25">
      <c r="J25" s="30"/>
      <c r="K25" s="250" t="str">
        <f>+IF(O14&gt;P14,"New Tax Regime is recommended for you. It would save you","Old Tax Regime* is recommended for you. It would save you")</f>
        <v>New Tax Regime is recommended for you. It would save you</v>
      </c>
      <c r="L25" s="250"/>
      <c r="M25" s="250"/>
      <c r="N25" s="250"/>
      <c r="O25" s="22">
        <f>+ABS(O14-P14)</f>
        <v>86745.983999999997</v>
      </c>
      <c r="P25" s="38" t="s">
        <v>78</v>
      </c>
    </row>
    <row r="26" spans="10:16" ht="14.45" customHeight="1" x14ac:dyDescent="0.25">
      <c r="J26" s="31"/>
      <c r="K26" s="246" t="s">
        <v>79</v>
      </c>
      <c r="L26" s="246"/>
      <c r="M26" s="246"/>
      <c r="N26" s="246"/>
      <c r="O26" s="246"/>
      <c r="P26" s="246"/>
    </row>
    <row r="27" spans="10:16" x14ac:dyDescent="0.25">
      <c r="J27" s="31"/>
      <c r="K27" s="246"/>
      <c r="L27" s="246"/>
      <c r="M27" s="246"/>
      <c r="N27" s="246"/>
      <c r="O27" s="246"/>
      <c r="P27" s="246"/>
    </row>
    <row r="28" spans="10:16" x14ac:dyDescent="0.25">
      <c r="J28" s="30"/>
      <c r="K28" s="30"/>
      <c r="L28" s="30"/>
      <c r="M28" s="30"/>
      <c r="N28" s="30"/>
      <c r="O28" s="30"/>
      <c r="P28" s="30"/>
    </row>
    <row r="32" spans="10:16" x14ac:dyDescent="0.25">
      <c r="L32" s="32"/>
    </row>
    <row r="35" spans="10:12" s="37" customFormat="1" ht="16.5" x14ac:dyDescent="0.3">
      <c r="J35" s="35"/>
      <c r="K35" s="35" t="s">
        <v>25</v>
      </c>
      <c r="L35" s="36" t="s">
        <v>26</v>
      </c>
    </row>
    <row r="36" spans="10:12" s="37" customFormat="1" ht="16.5" x14ac:dyDescent="0.3">
      <c r="J36" s="35" t="s">
        <v>63</v>
      </c>
      <c r="K36" s="36">
        <f>+K8</f>
        <v>2840000</v>
      </c>
      <c r="L36" s="36">
        <f>+L8</f>
        <v>2840000</v>
      </c>
    </row>
    <row r="37" spans="10:12" s="37" customFormat="1" ht="16.5" x14ac:dyDescent="0.3">
      <c r="J37" s="35" t="s">
        <v>73</v>
      </c>
      <c r="K37" s="36">
        <f>+K13</f>
        <v>949468</v>
      </c>
      <c r="L37" s="36">
        <f>+L13</f>
        <v>455000</v>
      </c>
    </row>
    <row r="38" spans="10:12" s="37" customFormat="1" ht="16.5" x14ac:dyDescent="0.3">
      <c r="J38" s="35" t="s">
        <v>74</v>
      </c>
      <c r="K38" s="36">
        <f>+O8</f>
        <v>1890532</v>
      </c>
      <c r="L38" s="36">
        <f>+P8</f>
        <v>2385000</v>
      </c>
    </row>
    <row r="39" spans="10:12" s="37" customFormat="1" ht="16.5" x14ac:dyDescent="0.3">
      <c r="J39" s="35" t="s">
        <v>66</v>
      </c>
      <c r="K39" s="36">
        <f>+O14</f>
        <v>394845.984</v>
      </c>
      <c r="L39" s="36">
        <f>+P14</f>
        <v>308100</v>
      </c>
    </row>
    <row r="40" spans="10:12" s="37" customFormat="1" x14ac:dyDescent="0.25"/>
  </sheetData>
  <sheetProtection algorithmName="SHA-512" hashValue="L7Mmhp3t9XVOM0puo/DtM3/Sf/mTfNxDlW10AKi8abGN1WOZumGtRjjSfcmk8QhvCfc4Xvb+9B4si791+5nHzw==" saltValue="5zM5NLbVSTBEKhRrLSICSA==" spinCount="100000" sheet="1" objects="1" scenarios="1"/>
  <mergeCells count="7">
    <mergeCell ref="B4:G4"/>
    <mergeCell ref="K26:P27"/>
    <mergeCell ref="J6:L6"/>
    <mergeCell ref="J11:L11"/>
    <mergeCell ref="N6:P6"/>
    <mergeCell ref="N12:P12"/>
    <mergeCell ref="K25:N25"/>
  </mergeCells>
  <conditionalFormatting sqref="O14:P14">
    <cfRule type="colorScale" priority="1">
      <colorScale>
        <cfvo type="min"/>
        <cfvo type="max"/>
        <color rgb="FF57E1B8"/>
        <color rgb="FFF3F6FB"/>
      </colorScale>
    </cfRule>
  </conditionalFormatting>
  <dataValidations count="1">
    <dataValidation allowBlank="1" showInputMessage="1" showErrorMessage="1" prompt="Standard Deduction from Salary Income and Standard deduction @30% on Rental Incomes if any" sqref="J17 K17 L17" xr:uid="{9142F985-FF68-49EB-9CF5-984EA51D1052}"/>
  </dataValidations>
  <pageMargins left="0.7" right="0.7" top="0.75" bottom="0.75" header="0.3" footer="0.3"/>
  <headerFooter>
    <oddFooter>&amp;C_x000D_&amp;1#&amp;"Aptos"&amp;8&amp;K000000 Document Classification: Public</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40DB-B33E-4001-82B9-AA7FA789D645}">
  <dimension ref="B4:C26"/>
  <sheetViews>
    <sheetView zoomScale="70" zoomScaleNormal="70" workbookViewId="0">
      <selection activeCell="C16" sqref="C16"/>
    </sheetView>
  </sheetViews>
  <sheetFormatPr defaultColWidth="44.28515625" defaultRowHeight="20.25" x14ac:dyDescent="0.35"/>
  <cols>
    <col min="1" max="1" width="18.85546875" style="33" customWidth="1"/>
    <col min="2" max="2" width="78" style="33" customWidth="1"/>
    <col min="3" max="3" width="23.140625" style="33" customWidth="1"/>
    <col min="4" max="16384" width="44.28515625" style="33"/>
  </cols>
  <sheetData>
    <row r="4" spans="2:3" ht="30.75" x14ac:dyDescent="0.35">
      <c r="B4" s="251" t="s">
        <v>47</v>
      </c>
      <c r="C4" s="251"/>
    </row>
    <row r="6" spans="2:3" s="34" customFormat="1" ht="32.450000000000003" customHeight="1" x14ac:dyDescent="0.25">
      <c r="B6" s="82" t="s">
        <v>17</v>
      </c>
      <c r="C6" s="82" t="s">
        <v>39</v>
      </c>
    </row>
    <row r="7" spans="2:3" ht="25.9" customHeight="1" x14ac:dyDescent="0.35">
      <c r="B7" s="75" t="s">
        <v>40</v>
      </c>
      <c r="C7" s="76">
        <v>600000</v>
      </c>
    </row>
    <row r="8" spans="2:3" ht="25.9" customHeight="1" x14ac:dyDescent="0.35">
      <c r="B8" s="75" t="s">
        <v>43</v>
      </c>
      <c r="C8" s="76">
        <v>540000</v>
      </c>
    </row>
    <row r="9" spans="2:3" ht="25.9" customHeight="1" x14ac:dyDescent="0.35">
      <c r="B9" s="75" t="s">
        <v>44</v>
      </c>
      <c r="C9" s="76">
        <v>624000</v>
      </c>
    </row>
    <row r="10" spans="2:3" ht="40.5" x14ac:dyDescent="0.35">
      <c r="B10" s="75" t="s">
        <v>85</v>
      </c>
      <c r="C10" s="77" t="s">
        <v>46</v>
      </c>
    </row>
    <row r="11" spans="2:3" ht="25.9" customHeight="1" x14ac:dyDescent="0.35">
      <c r="B11" s="78" t="s">
        <v>41</v>
      </c>
      <c r="C11" s="79">
        <f>+C8</f>
        <v>540000</v>
      </c>
    </row>
    <row r="12" spans="2:3" ht="25.9" customHeight="1" x14ac:dyDescent="0.35">
      <c r="B12" s="78" t="s">
        <v>45</v>
      </c>
      <c r="C12" s="79">
        <f>+IF(C10="Yes",C7*0.5,C7*0.4)</f>
        <v>240000</v>
      </c>
    </row>
    <row r="13" spans="2:3" ht="25.9" customHeight="1" x14ac:dyDescent="0.35">
      <c r="B13" s="78" t="s">
        <v>86</v>
      </c>
      <c r="C13" s="79">
        <f>+C9-0.1*C7</f>
        <v>564000</v>
      </c>
    </row>
    <row r="14" spans="2:3" ht="25.9" customHeight="1" x14ac:dyDescent="0.35">
      <c r="B14" s="81" t="s">
        <v>42</v>
      </c>
      <c r="C14" s="80">
        <f>+MIN(C11,C12,C13)</f>
        <v>240000</v>
      </c>
    </row>
    <row r="16" spans="2:3" ht="25.9" customHeight="1" x14ac:dyDescent="0.35">
      <c r="B16" s="83" t="s">
        <v>236</v>
      </c>
      <c r="C16" s="86">
        <f>+IF(C9/12&gt;50000,(C9*0.02),0)</f>
        <v>12480</v>
      </c>
    </row>
    <row r="17" spans="2:3" x14ac:dyDescent="0.35">
      <c r="B17" s="252"/>
      <c r="C17" s="252"/>
    </row>
    <row r="18" spans="2:3" ht="28.9" customHeight="1" x14ac:dyDescent="0.35">
      <c r="B18" s="253" t="s">
        <v>235</v>
      </c>
      <c r="C18" s="253"/>
    </row>
    <row r="19" spans="2:3" ht="28.9" customHeight="1" x14ac:dyDescent="0.35">
      <c r="B19" s="253"/>
      <c r="C19" s="253"/>
    </row>
    <row r="20" spans="2:3" ht="28.9" customHeight="1" x14ac:dyDescent="0.35">
      <c r="B20" s="253"/>
      <c r="C20" s="253"/>
    </row>
    <row r="21" spans="2:3" x14ac:dyDescent="0.35">
      <c r="B21" s="253"/>
      <c r="C21" s="253"/>
    </row>
    <row r="22" spans="2:3" x14ac:dyDescent="0.35">
      <c r="B22" s="253"/>
      <c r="C22" s="253"/>
    </row>
    <row r="23" spans="2:3" x14ac:dyDescent="0.35">
      <c r="B23" s="253"/>
      <c r="C23" s="253"/>
    </row>
    <row r="24" spans="2:3" x14ac:dyDescent="0.35">
      <c r="B24" s="253"/>
      <c r="C24" s="253"/>
    </row>
    <row r="25" spans="2:3" x14ac:dyDescent="0.35">
      <c r="B25" s="253"/>
      <c r="C25" s="253"/>
    </row>
    <row r="26" spans="2:3" x14ac:dyDescent="0.35">
      <c r="B26" s="253"/>
      <c r="C26" s="253"/>
    </row>
  </sheetData>
  <sheetProtection algorithmName="SHA-512" hashValue="tWzO6Gt1g8uexjsueciCrKLtU7xY+mGJWFASNnR2A8uT6Xl7sqxKEBPYVakAXzFoyW4DVjYp/UR+OX7xYb6/hw==" saltValue="M1q1nij8uRbjAW7GKZ/KIw==" spinCount="100000" sheet="1" objects="1" scenarios="1"/>
  <mergeCells count="3">
    <mergeCell ref="B4:C4"/>
    <mergeCell ref="B17:C17"/>
    <mergeCell ref="B18:C26"/>
  </mergeCells>
  <dataValidations count="1">
    <dataValidation type="list" allowBlank="1" showInputMessage="1" showErrorMessage="1" prompt="Select Yes/No" sqref="C10" xr:uid="{72E33927-7C20-4580-ABFA-6F9812B097F8}">
      <formula1>"Yes,No"</formula1>
    </dataValidation>
  </dataValidations>
  <pageMargins left="0.7" right="0.7" top="0.75" bottom="0.75" header="0.3" footer="0.3"/>
  <headerFooter>
    <oddFooter>&amp;C_x000D_&amp;1#&amp;"Aptos"&amp;8&amp;K000000 Document 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3FC6D-1274-4058-B912-1D5BC278D0DC}">
  <dimension ref="B1:D14"/>
  <sheetViews>
    <sheetView showGridLines="0" zoomScaleNormal="100" workbookViewId="0">
      <selection activeCell="C14" sqref="C14"/>
    </sheetView>
  </sheetViews>
  <sheetFormatPr defaultColWidth="8.85546875" defaultRowHeight="16.5" x14ac:dyDescent="0.3"/>
  <cols>
    <col min="1" max="1" width="8.85546875" style="90"/>
    <col min="2" max="2" width="1.85546875" style="90" customWidth="1"/>
    <col min="3" max="3" width="145.5703125" style="90" customWidth="1"/>
    <col min="4" max="4" width="1.85546875" style="90" customWidth="1"/>
    <col min="5" max="16384" width="8.85546875" style="90"/>
  </cols>
  <sheetData>
    <row r="1" spans="2:4" ht="30" customHeight="1" x14ac:dyDescent="0.3"/>
    <row r="2" spans="2:4" ht="10.15" customHeight="1" thickBot="1" x14ac:dyDescent="0.35">
      <c r="B2" s="91"/>
      <c r="C2" s="91"/>
      <c r="D2" s="91"/>
    </row>
    <row r="3" spans="2:4" s="94" customFormat="1" ht="33" customHeight="1" x14ac:dyDescent="0.5">
      <c r="B3" s="92"/>
      <c r="C3" s="93" t="s">
        <v>107</v>
      </c>
      <c r="D3" s="92"/>
    </row>
    <row r="4" spans="2:4" ht="22.9" customHeight="1" x14ac:dyDescent="0.3">
      <c r="B4" s="91"/>
      <c r="C4" s="95" t="s">
        <v>108</v>
      </c>
      <c r="D4" s="91"/>
    </row>
    <row r="5" spans="2:4" ht="20.45" customHeight="1" x14ac:dyDescent="0.3">
      <c r="B5" s="91"/>
      <c r="C5" s="96" t="s">
        <v>109</v>
      </c>
      <c r="D5" s="91"/>
    </row>
    <row r="6" spans="2:4" ht="20.45" customHeight="1" x14ac:dyDescent="0.3">
      <c r="B6" s="91"/>
      <c r="C6" s="96" t="s">
        <v>110</v>
      </c>
      <c r="D6" s="91"/>
    </row>
    <row r="7" spans="2:4" ht="36.6" customHeight="1" x14ac:dyDescent="0.3">
      <c r="B7" s="91"/>
      <c r="C7" s="96" t="s">
        <v>234</v>
      </c>
      <c r="D7" s="91"/>
    </row>
    <row r="8" spans="2:4" ht="30" customHeight="1" x14ac:dyDescent="0.3">
      <c r="B8" s="91"/>
      <c r="C8" s="96" t="s">
        <v>111</v>
      </c>
      <c r="D8" s="91"/>
    </row>
    <row r="9" spans="2:4" ht="24" customHeight="1" x14ac:dyDescent="0.3">
      <c r="B9" s="91"/>
      <c r="C9" s="96" t="s">
        <v>112</v>
      </c>
      <c r="D9" s="91"/>
    </row>
    <row r="10" spans="2:4" ht="49.5" x14ac:dyDescent="0.3">
      <c r="B10" s="91"/>
      <c r="C10" s="96" t="s">
        <v>113</v>
      </c>
      <c r="D10" s="91"/>
    </row>
    <row r="11" spans="2:4" x14ac:dyDescent="0.3">
      <c r="B11" s="91"/>
      <c r="C11" s="96"/>
      <c r="D11" s="91"/>
    </row>
    <row r="12" spans="2:4" x14ac:dyDescent="0.3">
      <c r="B12" s="91"/>
      <c r="C12" s="95" t="s">
        <v>114</v>
      </c>
      <c r="D12" s="91"/>
    </row>
    <row r="13" spans="2:4" ht="36.6" customHeight="1" thickBot="1" x14ac:dyDescent="0.35">
      <c r="B13" s="91"/>
      <c r="C13" s="97" t="s">
        <v>115</v>
      </c>
      <c r="D13" s="91"/>
    </row>
    <row r="14" spans="2:4" ht="10.15" customHeight="1" x14ac:dyDescent="0.3">
      <c r="B14" s="91"/>
      <c r="C14" s="98"/>
      <c r="D14" s="91"/>
    </row>
  </sheetData>
  <sheetProtection algorithmName="SHA-512" hashValue="L4GIc1wt9iT7RQPcaD52PiSH1sjR6B3mFWrVS/HHzDQoC+idcWZEfdlsWFlCjfKrjMcRi/C/CcrYgMOY8k8ldw==" saltValue="eMaZ23AhPO8oquQpuwRZoQ==" spinCount="100000" sheet="1" objects="1" scenarios="1"/>
  <pageMargins left="0.7" right="0.7" top="0.75" bottom="0.75" header="0.3" footer="0.3"/>
  <pageSetup orientation="landscape" r:id="rId1"/>
  <headerFooter>
    <oddFooter>&amp;C_x000D_&amp;1#&amp;"Aptos"&amp;8&amp;K000000 Document 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7B6F4-5D0A-41A9-A14A-FA7907F42676}">
  <dimension ref="A1:E71"/>
  <sheetViews>
    <sheetView showGridLines="0" workbookViewId="0">
      <selection activeCell="D5" sqref="D5"/>
    </sheetView>
  </sheetViews>
  <sheetFormatPr defaultColWidth="9.140625" defaultRowHeight="16.5" x14ac:dyDescent="0.3"/>
  <cols>
    <col min="1" max="1" width="8.7109375" style="90" bestFit="1" customWidth="1"/>
    <col min="2" max="2" width="3.7109375" style="90" bestFit="1" customWidth="1"/>
    <col min="3" max="3" width="44" style="90" bestFit="1" customWidth="1"/>
    <col min="4" max="4" width="68.85546875" style="100" customWidth="1"/>
    <col min="5" max="5" width="47.42578125" style="90" customWidth="1"/>
    <col min="6" max="16384" width="9.140625" style="90"/>
  </cols>
  <sheetData>
    <row r="1" spans="1:5" x14ac:dyDescent="0.3">
      <c r="A1" s="99"/>
    </row>
    <row r="4" spans="1:5" x14ac:dyDescent="0.3">
      <c r="A4" s="101" t="s">
        <v>116</v>
      </c>
      <c r="B4" s="101" t="s">
        <v>46</v>
      </c>
      <c r="C4" s="101" t="s">
        <v>117</v>
      </c>
      <c r="D4" s="102" t="s">
        <v>118</v>
      </c>
      <c r="E4" s="103" t="s">
        <v>119</v>
      </c>
    </row>
    <row r="5" spans="1:5" ht="297" x14ac:dyDescent="0.3">
      <c r="A5" s="260" t="s">
        <v>120</v>
      </c>
      <c r="B5" s="104">
        <v>1</v>
      </c>
      <c r="C5" s="105" t="s">
        <v>121</v>
      </c>
      <c r="D5" s="106" t="s">
        <v>122</v>
      </c>
      <c r="E5" s="261" t="s">
        <v>123</v>
      </c>
    </row>
    <row r="6" spans="1:5" x14ac:dyDescent="0.3">
      <c r="A6" s="260"/>
      <c r="B6" s="104">
        <f t="shared" ref="B6:B24" si="0">B5+1</f>
        <v>2</v>
      </c>
      <c r="C6" s="104" t="s">
        <v>124</v>
      </c>
      <c r="D6" s="106" t="s">
        <v>125</v>
      </c>
      <c r="E6" s="262"/>
    </row>
    <row r="7" spans="1:5" ht="66" x14ac:dyDescent="0.3">
      <c r="A7" s="260"/>
      <c r="B7" s="104">
        <f t="shared" si="0"/>
        <v>3</v>
      </c>
      <c r="C7" s="104" t="s">
        <v>126</v>
      </c>
      <c r="D7" s="106" t="s">
        <v>127</v>
      </c>
      <c r="E7" s="262"/>
    </row>
    <row r="8" spans="1:5" x14ac:dyDescent="0.3">
      <c r="A8" s="260"/>
      <c r="B8" s="104">
        <f t="shared" si="0"/>
        <v>4</v>
      </c>
      <c r="C8" s="104" t="s">
        <v>128</v>
      </c>
      <c r="D8" s="106" t="s">
        <v>129</v>
      </c>
      <c r="E8" s="262"/>
    </row>
    <row r="9" spans="1:5" x14ac:dyDescent="0.3">
      <c r="A9" s="260"/>
      <c r="B9" s="104">
        <f t="shared" si="0"/>
        <v>5</v>
      </c>
      <c r="C9" s="104" t="s">
        <v>130</v>
      </c>
      <c r="D9" s="106" t="s">
        <v>131</v>
      </c>
      <c r="E9" s="262"/>
    </row>
    <row r="10" spans="1:5" x14ac:dyDescent="0.3">
      <c r="A10" s="260"/>
      <c r="B10" s="104">
        <f t="shared" si="0"/>
        <v>6</v>
      </c>
      <c r="C10" s="104" t="s">
        <v>132</v>
      </c>
      <c r="D10" s="106" t="s">
        <v>133</v>
      </c>
      <c r="E10" s="262"/>
    </row>
    <row r="11" spans="1:5" ht="33" x14ac:dyDescent="0.3">
      <c r="A11" s="260"/>
      <c r="B11" s="104">
        <f t="shared" si="0"/>
        <v>7</v>
      </c>
      <c r="C11" s="104" t="s">
        <v>134</v>
      </c>
      <c r="D11" s="106" t="s">
        <v>135</v>
      </c>
      <c r="E11" s="262"/>
    </row>
    <row r="12" spans="1:5" ht="66" x14ac:dyDescent="0.3">
      <c r="A12" s="260"/>
      <c r="B12" s="104">
        <f t="shared" si="0"/>
        <v>8</v>
      </c>
      <c r="C12" s="104" t="s">
        <v>136</v>
      </c>
      <c r="D12" s="106" t="s">
        <v>137</v>
      </c>
      <c r="E12" s="262"/>
    </row>
    <row r="13" spans="1:5" ht="33" x14ac:dyDescent="0.3">
      <c r="A13" s="260"/>
      <c r="B13" s="104">
        <f t="shared" si="0"/>
        <v>9</v>
      </c>
      <c r="C13" s="104" t="s">
        <v>138</v>
      </c>
      <c r="D13" s="106" t="s">
        <v>139</v>
      </c>
      <c r="E13" s="262"/>
    </row>
    <row r="14" spans="1:5" x14ac:dyDescent="0.3">
      <c r="A14" s="260"/>
      <c r="B14" s="104">
        <f t="shared" si="0"/>
        <v>10</v>
      </c>
      <c r="C14" s="104" t="s">
        <v>140</v>
      </c>
      <c r="D14" s="106" t="s">
        <v>141</v>
      </c>
      <c r="E14" s="262"/>
    </row>
    <row r="15" spans="1:5" x14ac:dyDescent="0.3">
      <c r="A15" s="260"/>
      <c r="B15" s="104">
        <f t="shared" si="0"/>
        <v>11</v>
      </c>
      <c r="C15" s="104" t="s">
        <v>142</v>
      </c>
      <c r="D15" s="106" t="s">
        <v>143</v>
      </c>
      <c r="E15" s="262"/>
    </row>
    <row r="16" spans="1:5" x14ac:dyDescent="0.3">
      <c r="A16" s="260"/>
      <c r="B16" s="104">
        <f t="shared" si="0"/>
        <v>12</v>
      </c>
      <c r="C16" s="104" t="s">
        <v>144</v>
      </c>
      <c r="D16" s="106" t="s">
        <v>145</v>
      </c>
      <c r="E16" s="262"/>
    </row>
    <row r="17" spans="1:5" x14ac:dyDescent="0.3">
      <c r="A17" s="260"/>
      <c r="B17" s="104">
        <f t="shared" si="0"/>
        <v>13</v>
      </c>
      <c r="C17" s="104" t="s">
        <v>146</v>
      </c>
      <c r="D17" s="106" t="s">
        <v>147</v>
      </c>
      <c r="E17" s="262"/>
    </row>
    <row r="18" spans="1:5" ht="33" x14ac:dyDescent="0.3">
      <c r="A18" s="260"/>
      <c r="B18" s="104">
        <f t="shared" si="0"/>
        <v>14</v>
      </c>
      <c r="C18" s="104" t="s">
        <v>148</v>
      </c>
      <c r="D18" s="106" t="s">
        <v>149</v>
      </c>
      <c r="E18" s="262"/>
    </row>
    <row r="19" spans="1:5" ht="49.5" x14ac:dyDescent="0.3">
      <c r="A19" s="260"/>
      <c r="B19" s="104">
        <f t="shared" si="0"/>
        <v>15</v>
      </c>
      <c r="C19" s="104" t="s">
        <v>150</v>
      </c>
      <c r="D19" s="106" t="s">
        <v>141</v>
      </c>
      <c r="E19" s="262"/>
    </row>
    <row r="20" spans="1:5" x14ac:dyDescent="0.3">
      <c r="A20" s="260"/>
      <c r="B20" s="104">
        <f t="shared" si="0"/>
        <v>16</v>
      </c>
      <c r="C20" s="104" t="s">
        <v>151</v>
      </c>
      <c r="D20" s="106" t="s">
        <v>152</v>
      </c>
      <c r="E20" s="262"/>
    </row>
    <row r="21" spans="1:5" x14ac:dyDescent="0.3">
      <c r="A21" s="107" t="s">
        <v>153</v>
      </c>
      <c r="B21" s="104">
        <f t="shared" si="0"/>
        <v>17</v>
      </c>
      <c r="C21" s="104" t="s">
        <v>154</v>
      </c>
      <c r="D21" s="106" t="s">
        <v>125</v>
      </c>
      <c r="E21" s="262"/>
    </row>
    <row r="22" spans="1:5" ht="33" x14ac:dyDescent="0.3">
      <c r="A22" s="107" t="s">
        <v>155</v>
      </c>
      <c r="B22" s="104">
        <f t="shared" si="0"/>
        <v>18</v>
      </c>
      <c r="C22" s="104" t="s">
        <v>156</v>
      </c>
      <c r="D22" s="106" t="s">
        <v>157</v>
      </c>
      <c r="E22" s="263"/>
    </row>
    <row r="23" spans="1:5" ht="66" x14ac:dyDescent="0.3">
      <c r="A23" s="104" t="s">
        <v>158</v>
      </c>
      <c r="B23" s="104">
        <f t="shared" si="0"/>
        <v>19</v>
      </c>
      <c r="C23" s="104" t="s">
        <v>156</v>
      </c>
      <c r="D23" s="106" t="s">
        <v>159</v>
      </c>
      <c r="E23" s="108"/>
    </row>
    <row r="24" spans="1:5" x14ac:dyDescent="0.3">
      <c r="A24" s="109"/>
      <c r="B24" s="264">
        <f t="shared" si="0"/>
        <v>20</v>
      </c>
      <c r="C24" s="110"/>
      <c r="D24" s="111"/>
      <c r="E24" s="109"/>
    </row>
    <row r="25" spans="1:5" x14ac:dyDescent="0.3">
      <c r="A25" s="109" t="s">
        <v>160</v>
      </c>
      <c r="B25" s="265"/>
      <c r="C25" s="112" t="s">
        <v>161</v>
      </c>
      <c r="D25" s="113" t="s">
        <v>162</v>
      </c>
      <c r="E25" s="114"/>
    </row>
    <row r="26" spans="1:5" ht="33" x14ac:dyDescent="0.3">
      <c r="A26" s="109"/>
      <c r="B26" s="265"/>
      <c r="C26" s="110"/>
      <c r="D26" s="111" t="s">
        <v>163</v>
      </c>
      <c r="E26" s="115"/>
    </row>
    <row r="27" spans="1:5" x14ac:dyDescent="0.3">
      <c r="A27" s="109"/>
      <c r="B27" s="265"/>
      <c r="C27" s="110"/>
      <c r="D27" s="111" t="s">
        <v>164</v>
      </c>
      <c r="E27" s="115"/>
    </row>
    <row r="28" spans="1:5" ht="33" x14ac:dyDescent="0.3">
      <c r="A28" s="116"/>
      <c r="B28" s="266"/>
      <c r="C28" s="117"/>
      <c r="D28" s="118" t="s">
        <v>165</v>
      </c>
      <c r="E28" s="119"/>
    </row>
    <row r="29" spans="1:5" x14ac:dyDescent="0.3">
      <c r="A29" s="120"/>
      <c r="B29" s="121"/>
      <c r="C29" s="122"/>
      <c r="D29" s="123"/>
      <c r="E29" s="120"/>
    </row>
    <row r="30" spans="1:5" x14ac:dyDescent="0.3">
      <c r="A30" s="120" t="s">
        <v>166</v>
      </c>
      <c r="B30" s="121">
        <v>21</v>
      </c>
      <c r="C30" s="124" t="s">
        <v>167</v>
      </c>
      <c r="D30" s="123" t="s">
        <v>168</v>
      </c>
      <c r="E30" s="125"/>
    </row>
    <row r="31" spans="1:5" ht="264" x14ac:dyDescent="0.3">
      <c r="A31" s="116"/>
      <c r="B31" s="126"/>
      <c r="C31" s="117"/>
      <c r="D31" s="127" t="s">
        <v>169</v>
      </c>
      <c r="E31" s="128"/>
    </row>
    <row r="32" spans="1:5" x14ac:dyDescent="0.3">
      <c r="A32" s="109"/>
      <c r="B32" s="121"/>
      <c r="C32" s="110"/>
      <c r="D32" s="113"/>
      <c r="E32" s="109"/>
    </row>
    <row r="33" spans="1:5" ht="49.5" x14ac:dyDescent="0.3">
      <c r="A33" s="109" t="s">
        <v>170</v>
      </c>
      <c r="B33" s="129">
        <v>22</v>
      </c>
      <c r="C33" s="112" t="s">
        <v>171</v>
      </c>
      <c r="D33" s="113" t="s">
        <v>172</v>
      </c>
      <c r="E33" s="115"/>
    </row>
    <row r="34" spans="1:5" x14ac:dyDescent="0.3">
      <c r="A34" s="109"/>
      <c r="B34" s="129"/>
      <c r="C34" s="110"/>
      <c r="D34" s="113" t="s">
        <v>173</v>
      </c>
      <c r="E34" s="115"/>
    </row>
    <row r="35" spans="1:5" x14ac:dyDescent="0.3">
      <c r="A35" s="109"/>
      <c r="B35" s="129"/>
      <c r="C35" s="110"/>
      <c r="D35" s="113" t="s">
        <v>174</v>
      </c>
      <c r="E35" s="115"/>
    </row>
    <row r="36" spans="1:5" x14ac:dyDescent="0.3">
      <c r="A36" s="116"/>
      <c r="B36" s="126"/>
      <c r="C36" s="117"/>
      <c r="D36" s="130" t="s">
        <v>175</v>
      </c>
      <c r="E36" s="119"/>
    </row>
    <row r="37" spans="1:5" x14ac:dyDescent="0.3">
      <c r="A37" s="109"/>
      <c r="B37" s="110"/>
      <c r="C37" s="110"/>
      <c r="D37" s="113"/>
      <c r="E37" s="109"/>
    </row>
    <row r="38" spans="1:5" ht="33" x14ac:dyDescent="0.3">
      <c r="A38" s="109" t="s">
        <v>176</v>
      </c>
      <c r="B38" s="112">
        <v>23</v>
      </c>
      <c r="C38" s="112" t="s">
        <v>177</v>
      </c>
      <c r="D38" s="113" t="s">
        <v>178</v>
      </c>
      <c r="E38" s="115"/>
    </row>
    <row r="39" spans="1:5" x14ac:dyDescent="0.3">
      <c r="A39" s="109"/>
      <c r="B39" s="110"/>
      <c r="C39" s="110"/>
      <c r="D39" s="113" t="s">
        <v>173</v>
      </c>
      <c r="E39" s="115"/>
    </row>
    <row r="40" spans="1:5" ht="82.5" x14ac:dyDescent="0.3">
      <c r="A40" s="116"/>
      <c r="B40" s="117"/>
      <c r="C40" s="117"/>
      <c r="D40" s="131" t="s">
        <v>179</v>
      </c>
      <c r="E40" s="119"/>
    </row>
    <row r="41" spans="1:5" x14ac:dyDescent="0.3">
      <c r="A41" s="109"/>
      <c r="B41" s="110"/>
      <c r="C41" s="110"/>
      <c r="D41" s="113"/>
      <c r="E41" s="115"/>
    </row>
    <row r="42" spans="1:5" ht="33" x14ac:dyDescent="0.3">
      <c r="A42" s="109" t="s">
        <v>180</v>
      </c>
      <c r="B42" s="112">
        <v>24</v>
      </c>
      <c r="C42" s="112" t="s">
        <v>181</v>
      </c>
      <c r="D42" s="113" t="s">
        <v>182</v>
      </c>
      <c r="E42" s="132"/>
    </row>
    <row r="43" spans="1:5" x14ac:dyDescent="0.3">
      <c r="A43" s="109"/>
      <c r="B43" s="110"/>
      <c r="C43" s="110"/>
      <c r="D43" s="113" t="s">
        <v>183</v>
      </c>
      <c r="E43" s="132"/>
    </row>
    <row r="44" spans="1:5" ht="66" x14ac:dyDescent="0.3">
      <c r="A44" s="116"/>
      <c r="B44" s="117"/>
      <c r="C44" s="117"/>
      <c r="D44" s="130" t="s">
        <v>184</v>
      </c>
      <c r="E44" s="133"/>
    </row>
    <row r="45" spans="1:5" x14ac:dyDescent="0.3">
      <c r="A45" s="109"/>
      <c r="B45" s="264">
        <v>25</v>
      </c>
      <c r="C45" s="110"/>
      <c r="D45" s="113"/>
      <c r="E45" s="132"/>
    </row>
    <row r="46" spans="1:5" ht="33" x14ac:dyDescent="0.3">
      <c r="A46" s="109" t="s">
        <v>185</v>
      </c>
      <c r="B46" s="265"/>
      <c r="C46" s="112" t="s">
        <v>186</v>
      </c>
      <c r="D46" s="134" t="s">
        <v>187</v>
      </c>
      <c r="E46" s="267" t="s">
        <v>188</v>
      </c>
    </row>
    <row r="47" spans="1:5" ht="82.5" x14ac:dyDescent="0.3">
      <c r="A47" s="109"/>
      <c r="B47" s="110"/>
      <c r="C47" s="110"/>
      <c r="D47" s="113" t="s">
        <v>189</v>
      </c>
      <c r="E47" s="267"/>
    </row>
    <row r="48" spans="1:5" ht="49.5" x14ac:dyDescent="0.3">
      <c r="A48" s="109"/>
      <c r="B48" s="110"/>
      <c r="C48" s="110"/>
      <c r="D48" s="134" t="s">
        <v>190</v>
      </c>
      <c r="E48" s="267"/>
    </row>
    <row r="49" spans="1:5" x14ac:dyDescent="0.3">
      <c r="A49" s="116"/>
      <c r="B49" s="117"/>
      <c r="C49" s="117"/>
      <c r="D49" s="130"/>
      <c r="E49" s="133"/>
    </row>
    <row r="50" spans="1:5" x14ac:dyDescent="0.3">
      <c r="A50" s="109"/>
      <c r="B50" s="110"/>
      <c r="C50" s="110"/>
      <c r="D50" s="113"/>
      <c r="E50" s="115"/>
    </row>
    <row r="51" spans="1:5" ht="33" x14ac:dyDescent="0.3">
      <c r="A51" s="116" t="s">
        <v>191</v>
      </c>
      <c r="B51" s="135">
        <v>26</v>
      </c>
      <c r="C51" s="135" t="s">
        <v>192</v>
      </c>
      <c r="D51" s="130" t="s">
        <v>193</v>
      </c>
      <c r="E51" s="119"/>
    </row>
    <row r="52" spans="1:5" x14ac:dyDescent="0.3">
      <c r="A52" s="120"/>
      <c r="B52" s="122"/>
      <c r="C52" s="122"/>
      <c r="D52" s="123"/>
      <c r="E52" s="254" t="s">
        <v>194</v>
      </c>
    </row>
    <row r="53" spans="1:5" x14ac:dyDescent="0.3">
      <c r="A53" s="109"/>
      <c r="B53" s="110"/>
      <c r="C53" s="110"/>
      <c r="D53" s="113"/>
      <c r="E53" s="255"/>
    </row>
    <row r="54" spans="1:5" x14ac:dyDescent="0.3">
      <c r="A54" s="115"/>
      <c r="B54" s="112">
        <v>27</v>
      </c>
      <c r="C54" s="112" t="s">
        <v>195</v>
      </c>
      <c r="D54" s="113" t="s">
        <v>196</v>
      </c>
      <c r="E54" s="255"/>
    </row>
    <row r="55" spans="1:5" x14ac:dyDescent="0.3">
      <c r="A55" s="109"/>
      <c r="B55" s="110"/>
      <c r="C55" s="110"/>
      <c r="D55" s="113" t="s">
        <v>197</v>
      </c>
      <c r="E55" s="255"/>
    </row>
    <row r="56" spans="1:5" x14ac:dyDescent="0.3">
      <c r="A56" s="109"/>
      <c r="B56" s="110"/>
      <c r="C56" s="110"/>
      <c r="D56" s="113" t="s">
        <v>198</v>
      </c>
      <c r="E56" s="255"/>
    </row>
    <row r="57" spans="1:5" x14ac:dyDescent="0.3">
      <c r="A57" s="109"/>
      <c r="B57" s="110"/>
      <c r="C57" s="110"/>
      <c r="D57" s="136" t="s">
        <v>199</v>
      </c>
      <c r="E57" s="255"/>
    </row>
    <row r="58" spans="1:5" x14ac:dyDescent="0.3">
      <c r="A58" s="109"/>
      <c r="B58" s="110"/>
      <c r="C58" s="112" t="s">
        <v>200</v>
      </c>
      <c r="D58" s="113" t="s">
        <v>196</v>
      </c>
      <c r="E58" s="255"/>
    </row>
    <row r="59" spans="1:5" x14ac:dyDescent="0.3">
      <c r="A59" s="109"/>
      <c r="B59" s="110"/>
      <c r="C59" s="110"/>
      <c r="D59" s="113" t="s">
        <v>201</v>
      </c>
      <c r="E59" s="255"/>
    </row>
    <row r="60" spans="1:5" x14ac:dyDescent="0.3">
      <c r="A60" s="109"/>
      <c r="B60" s="110"/>
      <c r="C60" s="110"/>
      <c r="D60" s="113" t="s">
        <v>202</v>
      </c>
      <c r="E60" s="255"/>
    </row>
    <row r="61" spans="1:5" x14ac:dyDescent="0.3">
      <c r="A61" s="109"/>
      <c r="B61" s="110"/>
      <c r="C61" s="110"/>
      <c r="D61" s="113" t="s">
        <v>203</v>
      </c>
      <c r="E61" s="255"/>
    </row>
    <row r="62" spans="1:5" x14ac:dyDescent="0.3">
      <c r="A62" s="109"/>
      <c r="B62" s="110"/>
      <c r="C62" s="110"/>
      <c r="D62" s="113" t="s">
        <v>204</v>
      </c>
      <c r="E62" s="255"/>
    </row>
    <row r="63" spans="1:5" ht="134.44999999999999" customHeight="1" x14ac:dyDescent="0.3">
      <c r="A63" s="109"/>
      <c r="B63" s="110"/>
      <c r="C63" s="117"/>
      <c r="D63" s="137" t="s">
        <v>205</v>
      </c>
      <c r="E63" s="256"/>
    </row>
    <row r="64" spans="1:5" x14ac:dyDescent="0.3">
      <c r="A64" s="138" t="s">
        <v>206</v>
      </c>
      <c r="B64" s="120">
        <v>28</v>
      </c>
      <c r="C64" s="110" t="s">
        <v>207</v>
      </c>
      <c r="D64" s="113"/>
      <c r="E64" s="254" t="s">
        <v>208</v>
      </c>
    </row>
    <row r="65" spans="1:5" x14ac:dyDescent="0.3">
      <c r="A65" s="139"/>
      <c r="B65" s="109"/>
      <c r="C65" s="110" t="s">
        <v>209</v>
      </c>
      <c r="D65" s="134" t="s">
        <v>210</v>
      </c>
      <c r="E65" s="255"/>
    </row>
    <row r="66" spans="1:5" ht="82.5" x14ac:dyDescent="0.3">
      <c r="A66" s="139"/>
      <c r="B66" s="109"/>
      <c r="C66" s="110"/>
      <c r="D66" s="113" t="s">
        <v>211</v>
      </c>
      <c r="E66" s="255"/>
    </row>
    <row r="67" spans="1:5" ht="49.5" x14ac:dyDescent="0.3">
      <c r="A67" s="139"/>
      <c r="B67" s="109"/>
      <c r="C67" s="110"/>
      <c r="D67" s="134" t="s">
        <v>212</v>
      </c>
      <c r="E67" s="255"/>
    </row>
    <row r="68" spans="1:5" ht="117" customHeight="1" x14ac:dyDescent="0.3">
      <c r="A68" s="140"/>
      <c r="B68" s="116"/>
      <c r="C68" s="110"/>
      <c r="D68" s="113"/>
      <c r="E68" s="256"/>
    </row>
    <row r="69" spans="1:5" x14ac:dyDescent="0.3">
      <c r="A69" s="120" t="s">
        <v>213</v>
      </c>
      <c r="B69" s="120">
        <v>29</v>
      </c>
      <c r="C69" s="257" t="s">
        <v>214</v>
      </c>
      <c r="D69" s="141" t="s">
        <v>215</v>
      </c>
      <c r="E69" s="254" t="s">
        <v>216</v>
      </c>
    </row>
    <row r="70" spans="1:5" ht="82.5" x14ac:dyDescent="0.3">
      <c r="A70" s="109"/>
      <c r="B70" s="109"/>
      <c r="C70" s="258"/>
      <c r="D70" s="113" t="s">
        <v>217</v>
      </c>
      <c r="E70" s="255"/>
    </row>
    <row r="71" spans="1:5" ht="49.5" x14ac:dyDescent="0.3">
      <c r="A71" s="116"/>
      <c r="B71" s="116"/>
      <c r="C71" s="259"/>
      <c r="D71" s="126" t="s">
        <v>218</v>
      </c>
      <c r="E71" s="256"/>
    </row>
  </sheetData>
  <sheetProtection algorithmName="SHA-512" hashValue="dWiGOXh6bL204POp/3OeGQomVj3vtTBBIM9Y8ffHkYDpD/a1bcXZ9lYnO99/LaFvoERqPO9DUIypb2S7FZenzA==" saltValue="/MwRUBAb/9vIKIQOMmLReg==" spinCount="100000" sheet="1" objects="1" scenarios="1"/>
  <mergeCells count="9">
    <mergeCell ref="E64:E68"/>
    <mergeCell ref="C69:C71"/>
    <mergeCell ref="E69:E71"/>
    <mergeCell ref="A5:A20"/>
    <mergeCell ref="E5:E22"/>
    <mergeCell ref="B24:B28"/>
    <mergeCell ref="B45:B46"/>
    <mergeCell ref="E46:E48"/>
    <mergeCell ref="E52:E63"/>
  </mergeCells>
  <pageMargins left="0.7" right="0.7" top="0.75" bottom="0.75" header="0.3" footer="0.3"/>
  <headerFooter>
    <oddFooter>&amp;C_x000D_&amp;1#&amp;"Aptos"&amp;8&amp;K000000 Document Classification: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Tax Calculator FY 2025-26</vt:lpstr>
      <vt:lpstr>Tax Summary</vt:lpstr>
      <vt:lpstr>HRA Calculator</vt:lpstr>
      <vt:lpstr>New Regime Benefits</vt:lpstr>
      <vt:lpstr>Old Regime Benefits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Rajendra M G</cp:lastModifiedBy>
  <cp:lastPrinted>2025-04-28T17:15:20Z</cp:lastPrinted>
  <dcterms:created xsi:type="dcterms:W3CDTF">2025-04-27T11:46:25Z</dcterms:created>
  <dcterms:modified xsi:type="dcterms:W3CDTF">2026-01-19T22:24:11Z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3a031e-9284-4b01-a433-825aa52f02d7_Enabled">
    <vt:lpwstr>true</vt:lpwstr>
  </property>
  <property fmtid="{D5CDD505-2E9C-101B-9397-08002B2CF9AE}" pid="3" name="MSIP_Label_313a031e-9284-4b01-a433-825aa52f02d7_SetDate">
    <vt:lpwstr>2026-01-19T22:24:11Z</vt:lpwstr>
  </property>
  <property fmtid="{D5CDD505-2E9C-101B-9397-08002B2CF9AE}" pid="4" name="MSIP_Label_313a031e-9284-4b01-a433-825aa52f02d7_Method">
    <vt:lpwstr>Standard</vt:lpwstr>
  </property>
  <property fmtid="{D5CDD505-2E9C-101B-9397-08002B2CF9AE}" pid="5" name="MSIP_Label_313a031e-9284-4b01-a433-825aa52f02d7_Name">
    <vt:lpwstr>Public</vt:lpwstr>
  </property>
  <property fmtid="{D5CDD505-2E9C-101B-9397-08002B2CF9AE}" pid="6" name="MSIP_Label_313a031e-9284-4b01-a433-825aa52f02d7_SiteId">
    <vt:lpwstr>80e14cd3-31c2-4a31-bb68-789e4fad61cf</vt:lpwstr>
  </property>
  <property fmtid="{D5CDD505-2E9C-101B-9397-08002B2CF9AE}" pid="7" name="MSIP_Label_313a031e-9284-4b01-a433-825aa52f02d7_ActionId">
    <vt:lpwstr>7befd758-edd6-4d90-87ef-7eb5e00fab65</vt:lpwstr>
  </property>
  <property fmtid="{D5CDD505-2E9C-101B-9397-08002B2CF9AE}" pid="8" name="MSIP_Label_313a031e-9284-4b01-a433-825aa52f02d7_ContentBits">
    <vt:lpwstr>2</vt:lpwstr>
  </property>
  <property fmtid="{D5CDD505-2E9C-101B-9397-08002B2CF9AE}" pid="9" name="MSIP_Label_313a031e-9284-4b01-a433-825aa52f02d7_Tag">
    <vt:lpwstr>10, 3, 0, 1</vt:lpwstr>
  </property>
</Properties>
</file>